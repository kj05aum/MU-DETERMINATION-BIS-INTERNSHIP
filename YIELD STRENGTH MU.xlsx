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e53d1e4fdfddcf/Desktop/"/>
    </mc:Choice>
  </mc:AlternateContent>
  <xr:revisionPtr revIDLastSave="52" documentId="8_{6AAEC7E9-2472-487D-92BE-746B0DFB2D60}" xr6:coauthVersionLast="47" xr6:coauthVersionMax="47" xr10:uidLastSave="{2796E655-773A-462D-BE3F-654E339D561B}"/>
  <bookViews>
    <workbookView xWindow="-110" yWindow="-110" windowWidth="19420" windowHeight="11500" xr2:uid="{D707E43A-8117-4162-9282-C7C7D26B116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6" i="1" l="1"/>
  <c r="C74" i="1"/>
  <c r="G74" i="1"/>
  <c r="G75" i="1"/>
  <c r="C62" i="1"/>
  <c r="C63" i="1"/>
  <c r="C64" i="1"/>
  <c r="C65" i="1"/>
  <c r="C66" i="1"/>
  <c r="D49" i="1"/>
  <c r="C76" i="1" s="1"/>
  <c r="H76" i="1" s="1"/>
  <c r="I76" i="1" s="1"/>
  <c r="I41" i="1"/>
  <c r="I39" i="1"/>
  <c r="H39" i="1"/>
  <c r="G39" i="1"/>
  <c r="G37" i="1"/>
  <c r="C38" i="1" l="1"/>
  <c r="H38" i="1" s="1"/>
  <c r="C75" i="1"/>
  <c r="G36" i="1"/>
  <c r="G72" i="1"/>
  <c r="G73" i="1"/>
  <c r="E48" i="1"/>
  <c r="F48" i="1" s="1"/>
  <c r="G38" i="1"/>
  <c r="C37" i="1"/>
  <c r="D24" i="1"/>
  <c r="E23" i="1" s="1"/>
  <c r="F23" i="1" s="1"/>
  <c r="C41" i="1" l="1"/>
  <c r="C77" i="1"/>
  <c r="H75" i="1"/>
  <c r="I75" i="1" s="1"/>
  <c r="H37" i="1"/>
  <c r="I37" i="1" s="1"/>
  <c r="I38" i="1"/>
  <c r="H74" i="1"/>
  <c r="I74" i="1" s="1"/>
  <c r="E47" i="1"/>
  <c r="F47" i="1" s="1"/>
  <c r="E22" i="1"/>
  <c r="F22" i="1" s="1"/>
  <c r="E51" i="1"/>
  <c r="F51" i="1" s="1"/>
  <c r="E26" i="1"/>
  <c r="F26" i="1" s="1"/>
  <c r="E50" i="1"/>
  <c r="F50" i="1" s="1"/>
  <c r="E25" i="1"/>
  <c r="F25" i="1" s="1"/>
  <c r="E49" i="1"/>
  <c r="F49" i="1" s="1"/>
  <c r="E24" i="1"/>
  <c r="F24" i="1" s="1"/>
  <c r="D64" i="1" l="1"/>
  <c r="E66" i="1" s="1"/>
  <c r="F66" i="1" s="1"/>
  <c r="F27" i="1"/>
  <c r="G24" i="1" s="1"/>
  <c r="F53" i="1"/>
  <c r="G49" i="1" s="1"/>
  <c r="C72" i="1" s="1"/>
  <c r="C36" i="1" l="1"/>
  <c r="H36" i="1" s="1"/>
  <c r="E41" i="1" s="1"/>
  <c r="K36" i="1" s="1"/>
  <c r="H24" i="1"/>
  <c r="E63" i="1"/>
  <c r="F63" i="1" s="1"/>
  <c r="H49" i="1"/>
  <c r="H72" i="1"/>
  <c r="E64" i="1"/>
  <c r="F64" i="1" s="1"/>
  <c r="E62" i="1"/>
  <c r="F62" i="1" s="1"/>
  <c r="E65" i="1"/>
  <c r="F65" i="1" s="1"/>
  <c r="I72" i="1" l="1"/>
  <c r="J79" i="1" s="1"/>
  <c r="D81" i="1" s="1"/>
  <c r="E77" i="1"/>
  <c r="K72" i="1" s="1"/>
  <c r="I36" i="1"/>
  <c r="F68" i="1"/>
  <c r="G64" i="1" s="1"/>
  <c r="J82" i="1" l="1"/>
  <c r="E83" i="1"/>
  <c r="C73" i="1"/>
  <c r="H73" i="1" s="1"/>
  <c r="I73" i="1" s="1"/>
  <c r="H64" i="1"/>
  <c r="H90" i="1" l="1"/>
  <c r="C95" i="1" s="1"/>
</calcChain>
</file>

<file path=xl/sharedStrings.xml><?xml version="1.0" encoding="utf-8"?>
<sst xmlns="http://schemas.openxmlformats.org/spreadsheetml/2006/main" count="181" uniqueCount="105">
  <si>
    <t>UNCERTAINTY CALCULTAIONS</t>
  </si>
  <si>
    <t xml:space="preserve"> BUREAU OF INDIAN STANDARDS GUWAHATI LABORATORY </t>
  </si>
  <si>
    <t>PRODUCT</t>
  </si>
  <si>
    <t>PRODUCT IS</t>
  </si>
  <si>
    <t>PARAMETER</t>
  </si>
  <si>
    <t>Result (xi)</t>
  </si>
  <si>
    <t>Mean (xm)</t>
  </si>
  <si>
    <t>xi - xm</t>
  </si>
  <si>
    <t>(xi - xm)2</t>
  </si>
  <si>
    <t>S.NO.</t>
  </si>
  <si>
    <t>√∑(xi - xm)2/n - 1</t>
  </si>
  <si>
    <t>SD</t>
  </si>
  <si>
    <t>Std. uncertainty</t>
  </si>
  <si>
    <t>SD/√n</t>
  </si>
  <si>
    <t>∑(xi - xm)2=</t>
  </si>
  <si>
    <t>Equipment's</t>
  </si>
  <si>
    <t>Declared MU</t>
  </si>
  <si>
    <t>Declared Unit</t>
  </si>
  <si>
    <t>At Factor K =</t>
  </si>
  <si>
    <t>Least Count</t>
  </si>
  <si>
    <t>Unit</t>
  </si>
  <si>
    <t>Accuracy</t>
  </si>
  <si>
    <t>mm</t>
  </si>
  <si>
    <t>Sources of Uncertainty</t>
  </si>
  <si>
    <t xml:space="preserve">Value     </t>
  </si>
  <si>
    <t>Type Of Disrtibution</t>
  </si>
  <si>
    <t>Probability Distribution</t>
  </si>
  <si>
    <t>Divisor</t>
  </si>
  <si>
    <t>Divisor Value</t>
  </si>
  <si>
    <t xml:space="preserve">Standard Uncertainty </t>
  </si>
  <si>
    <t xml:space="preserve">Uncertainty Contribution U(y) ^2 </t>
  </si>
  <si>
    <t>Sensitivity coefficient      C i</t>
  </si>
  <si>
    <t>Repeatability of Length u(x1)</t>
  </si>
  <si>
    <t>Type A</t>
  </si>
  <si>
    <t>Type B</t>
  </si>
  <si>
    <t>Normal</t>
  </si>
  <si>
    <t>Rectangular</t>
  </si>
  <si>
    <t>√n</t>
  </si>
  <si>
    <t>√3</t>
  </si>
  <si>
    <t>Degrees of freedom  V</t>
  </si>
  <si>
    <t>∞</t>
  </si>
  <si>
    <t>Kg/m</t>
  </si>
  <si>
    <t>Combined Uncertainty (uL) =</t>
  </si>
  <si>
    <t>Combined Uncertainty (uM) =</t>
  </si>
  <si>
    <t>u(M)=</t>
  </si>
  <si>
    <t>Coverage factor K at  =</t>
  </si>
  <si>
    <t xml:space="preserve"> Confidence Level,  K = </t>
  </si>
  <si>
    <t xml:space="preserve">Expanded Uncertainty  = </t>
  </si>
  <si>
    <t>Combined Uncertainity (Uc)  x Coverage Factor</t>
  </si>
  <si>
    <t xml:space="preserve">for confidence level of 95% </t>
  </si>
  <si>
    <t xml:space="preserve">Uncertainty Contribution U(y)^2 </t>
  </si>
  <si>
    <t>Tested By:</t>
  </si>
  <si>
    <t>Kartik Jaiswal</t>
  </si>
  <si>
    <t>Temperature:</t>
  </si>
  <si>
    <t>Uc=</t>
  </si>
  <si>
    <t>cl*u1=</t>
  </si>
  <si>
    <t>c2*u4=</t>
  </si>
  <si>
    <t>Effective Degree of Freedom=</t>
  </si>
  <si>
    <t>Uc  ^4</t>
  </si>
  <si>
    <t>(u (L)*c1)^4/v1) + (u (M)*c2) ^4/v2)</t>
  </si>
  <si>
    <t>%</t>
  </si>
  <si>
    <t xml:space="preserve">MU in %  = ± </t>
  </si>
  <si>
    <t>=</t>
  </si>
  <si>
    <t>TENSILE STRENGTH</t>
  </si>
  <si>
    <t>27° C</t>
  </si>
  <si>
    <t>F/A</t>
  </si>
  <si>
    <t xml:space="preserve">           F=</t>
  </si>
  <si>
    <t>FORCE</t>
  </si>
  <si>
    <t>KN</t>
  </si>
  <si>
    <t xml:space="preserve">A= </t>
  </si>
  <si>
    <t>CROSS-SECTIONAL AREA</t>
  </si>
  <si>
    <t>mm^2</t>
  </si>
  <si>
    <t>TENSILE STRENGTH =</t>
  </si>
  <si>
    <t>U(TENSILE STRENGTH)/Average(TENSILE STRENGTH)=SQRT((u_Force/Avg_Force)^2 + (u_Area/Avg_Area)^2)</t>
  </si>
  <si>
    <t>(A) Uncertainty in AREA (A) estimation ( Type A):</t>
  </si>
  <si>
    <t>(B) Uncertainty in AREA (A) estimation ( Type B):</t>
  </si>
  <si>
    <t>DIGIMATIC CALIPER</t>
  </si>
  <si>
    <t>Uncertainty of CALIPER u(x2)</t>
  </si>
  <si>
    <t>Least count for CALIPER u(x3)</t>
  </si>
  <si>
    <t>Accuracy of Calipers u(x4)</t>
  </si>
  <si>
    <t>SQRT (u(x1)^2 + u(x2) ^2+u(x3)^2+u(x4)^2)</t>
  </si>
  <si>
    <t>Rm=</t>
  </si>
  <si>
    <t>c1= dx/dA=</t>
  </si>
  <si>
    <t>(C) Uncertainty in FORCE(F) estimation ( Type A):</t>
  </si>
  <si>
    <t>(B) Uncertainty in FORCE(F) estimation ( Type B):</t>
  </si>
  <si>
    <t>UTM-40</t>
  </si>
  <si>
    <t>N^2</t>
  </si>
  <si>
    <t>N</t>
  </si>
  <si>
    <t>1%OFrEADING</t>
  </si>
  <si>
    <t>CAPAITY</t>
  </si>
  <si>
    <t>N/mm^2</t>
  </si>
  <si>
    <t>(N/mm^2)^2</t>
  </si>
  <si>
    <t>Repeatability of TENSILE STRENGTH u(x4)</t>
  </si>
  <si>
    <t>Uncertainty of UTM u(x6)</t>
  </si>
  <si>
    <t>Least count for UTM u(x7)</t>
  </si>
  <si>
    <t>Repeatability of LOAD u(x5)</t>
  </si>
  <si>
    <t>Accuracy of UTM u(x8)</t>
  </si>
  <si>
    <t>SQRT (u(x4)^2 + u(x5) ^2 +u(x6) ^2 +u(x7) ^2+u(x8)^2 )</t>
  </si>
  <si>
    <t>Combined uncertainty for Tensile Strength =</t>
  </si>
  <si>
    <t>Average(TENSILE STRENGTH)*(SQRT((u_Force/Avg_Force)^2 + (u_Area/Avg_Area)^2))</t>
  </si>
  <si>
    <t>c2=dx/dF=</t>
  </si>
  <si>
    <t>From Student-t table</t>
  </si>
  <si>
    <t>YIELD STRENGTH</t>
  </si>
  <si>
    <t xml:space="preserve"> HIGH STRENGTH DEFORMED
 STEEL BARS AND WIRES FOR
 CONCRETEREINFORCEMNT</t>
  </si>
  <si>
    <t>The value of  TENSILE STRENGTH  is   626.0547 ±24.6022 - N/mm^2 with coverage factor k= 2.444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</si>
</sst>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 Rounded MT Bold"/>
      <family val="2"/>
    </font>
    <font>
      <b/>
      <sz val="16"/>
      <color theme="1"/>
      <name val="Arial Rounded MT Bold"/>
      <family val="2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3"/>
      <color theme="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2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1" fillId="6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8" xfId="0" applyFont="1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1" fillId="3" borderId="0" xfId="0" applyFont="1" applyFill="1"/>
    <xf numFmtId="0" fontId="0" fillId="2" borderId="8" xfId="0" applyFill="1" applyBorder="1"/>
    <xf numFmtId="0" fontId="0" fillId="2" borderId="0" xfId="0" applyFill="1"/>
    <xf numFmtId="0" fontId="0" fillId="2" borderId="11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8" xfId="0" applyFont="1" applyBorder="1" applyAlignment="1">
      <alignment horizontal="right"/>
    </xf>
    <xf numFmtId="0" fontId="0" fillId="0" borderId="8" xfId="0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right"/>
    </xf>
    <xf numFmtId="9" fontId="5" fillId="0" borderId="0" xfId="0" applyNumberFormat="1" applyFont="1"/>
    <xf numFmtId="0" fontId="7" fillId="0" borderId="0" xfId="0" applyFont="1"/>
    <xf numFmtId="2" fontId="8" fillId="0" borderId="15" xfId="0" applyNumberFormat="1" applyFont="1" applyBorder="1" applyAlignment="1">
      <alignment horizontal="center"/>
    </xf>
    <xf numFmtId="0" fontId="1" fillId="3" borderId="17" xfId="0" applyFont="1" applyFill="1" applyBorder="1"/>
    <xf numFmtId="0" fontId="1" fillId="3" borderId="18" xfId="0" applyFont="1" applyFill="1" applyBorder="1"/>
    <xf numFmtId="0" fontId="1" fillId="3" borderId="19" xfId="0" applyFont="1" applyFill="1" applyBorder="1"/>
    <xf numFmtId="0" fontId="0" fillId="0" borderId="20" xfId="0" applyBorder="1"/>
    <xf numFmtId="0" fontId="1" fillId="5" borderId="0" xfId="0" applyFont="1" applyFill="1" applyAlignment="1">
      <alignment horizontal="right"/>
    </xf>
    <xf numFmtId="0" fontId="6" fillId="6" borderId="13" xfId="0" applyFont="1" applyFill="1" applyBorder="1"/>
    <xf numFmtId="0" fontId="7" fillId="6" borderId="14" xfId="0" applyFont="1" applyFill="1" applyBorder="1"/>
    <xf numFmtId="0" fontId="6" fillId="6" borderId="14" xfId="0" applyFont="1" applyFill="1" applyBorder="1"/>
    <xf numFmtId="0" fontId="1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6" xfId="0" applyFont="1" applyFill="1" applyBorder="1"/>
    <xf numFmtId="0" fontId="1" fillId="3" borderId="23" xfId="0" applyFont="1" applyFill="1" applyBorder="1"/>
    <xf numFmtId="0" fontId="1" fillId="3" borderId="24" xfId="0" applyFont="1" applyFill="1" applyBorder="1"/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 vertical="top" wrapText="1" indent="3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C45F-96F1-4FF4-B3E4-FBF62E01D824}">
  <dimension ref="A1:N95"/>
  <sheetViews>
    <sheetView tabSelected="1" topLeftCell="A8" zoomScale="67" zoomScaleNormal="69" workbookViewId="0">
      <selection activeCell="E101" sqref="E101"/>
    </sheetView>
  </sheetViews>
  <sheetFormatPr defaultRowHeight="14.5" x14ac:dyDescent="0.35"/>
  <cols>
    <col min="1" max="1" width="11.54296875" style="1" customWidth="1"/>
    <col min="2" max="2" width="29.26953125" style="1" customWidth="1"/>
    <col min="3" max="3" width="13.6328125" style="1" customWidth="1"/>
    <col min="4" max="4" width="40.26953125" style="1" bestFit="1" customWidth="1"/>
    <col min="5" max="5" width="20.54296875" style="1" bestFit="1" customWidth="1"/>
    <col min="6" max="6" width="14.08984375" style="1" customWidth="1"/>
    <col min="7" max="7" width="15.1796875" style="1" bestFit="1" customWidth="1"/>
    <col min="8" max="8" width="19.36328125" style="1" bestFit="1" customWidth="1"/>
    <col min="9" max="9" width="29" style="1" bestFit="1" customWidth="1"/>
    <col min="10" max="10" width="19.6328125" style="1" bestFit="1" customWidth="1"/>
    <col min="11" max="11" width="23.453125" style="1" bestFit="1" customWidth="1"/>
    <col min="12" max="16384" width="8.7265625" style="1"/>
  </cols>
  <sheetData>
    <row r="1" spans="1:14" ht="24.5" customHeight="1" x14ac:dyDescent="0.45">
      <c r="A1" s="61" t="s">
        <v>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3" spans="1:14" x14ac:dyDescent="0.35">
      <c r="E3" s="60" t="s">
        <v>0</v>
      </c>
      <c r="F3" s="54"/>
      <c r="G3" s="54"/>
      <c r="H3" s="54"/>
      <c r="I3" s="54"/>
      <c r="J3" s="54"/>
    </row>
    <row r="4" spans="1:14" x14ac:dyDescent="0.35">
      <c r="E4" s="54"/>
      <c r="F4" s="54"/>
      <c r="G4" s="54"/>
      <c r="H4" s="54"/>
      <c r="I4" s="54"/>
      <c r="J4" s="54"/>
    </row>
    <row r="6" spans="1:14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4.5" customHeight="1" x14ac:dyDescent="0.35">
      <c r="A7" s="3" t="s">
        <v>2</v>
      </c>
      <c r="B7" s="62" t="s">
        <v>103</v>
      </c>
      <c r="C7" s="62"/>
      <c r="D7" s="62"/>
      <c r="E7" s="62"/>
      <c r="H7" s="3" t="s">
        <v>51</v>
      </c>
      <c r="I7" s="1" t="s">
        <v>52</v>
      </c>
    </row>
    <row r="8" spans="1:14" x14ac:dyDescent="0.35">
      <c r="A8" s="3"/>
      <c r="B8" s="62"/>
      <c r="C8" s="62"/>
      <c r="D8" s="62"/>
      <c r="E8" s="62"/>
    </row>
    <row r="9" spans="1:14" x14ac:dyDescent="0.35">
      <c r="A9" s="3" t="s">
        <v>3</v>
      </c>
      <c r="B9" s="58">
        <v>1786</v>
      </c>
      <c r="C9" s="58"/>
      <c r="D9" s="58"/>
      <c r="E9" s="58"/>
      <c r="H9" s="3" t="s">
        <v>53</v>
      </c>
      <c r="I9" s="1" t="s">
        <v>64</v>
      </c>
    </row>
    <row r="10" spans="1:14" x14ac:dyDescent="0.35">
      <c r="A10" s="3" t="s">
        <v>4</v>
      </c>
      <c r="B10" s="58" t="s">
        <v>102</v>
      </c>
      <c r="C10" s="58"/>
      <c r="D10" s="58"/>
      <c r="E10" s="58"/>
    </row>
    <row r="11" spans="1:14" x14ac:dyDescent="0.35">
      <c r="B11" s="58"/>
      <c r="C11" s="58"/>
      <c r="D11" s="58"/>
      <c r="E11" s="58"/>
    </row>
    <row r="14" spans="1:14" x14ac:dyDescent="0.35">
      <c r="A14" s="59" t="s">
        <v>72</v>
      </c>
      <c r="B14" s="59"/>
      <c r="C14" s="4" t="s">
        <v>65</v>
      </c>
      <c r="D14" s="4"/>
      <c r="E14" s="4" t="s">
        <v>66</v>
      </c>
      <c r="F14" s="4" t="s">
        <v>67</v>
      </c>
      <c r="G14" s="4" t="s">
        <v>68</v>
      </c>
      <c r="H14" s="48" t="s">
        <v>69</v>
      </c>
      <c r="I14" s="4" t="s">
        <v>70</v>
      </c>
      <c r="J14" s="4" t="s">
        <v>71</v>
      </c>
    </row>
    <row r="16" spans="1:14" x14ac:dyDescent="0.35">
      <c r="B16" s="54" t="s">
        <v>73</v>
      </c>
      <c r="C16" s="54"/>
      <c r="D16" s="54"/>
      <c r="E16" s="54"/>
      <c r="F16" s="54"/>
      <c r="G16" s="54"/>
      <c r="H16" s="54"/>
      <c r="I16" s="54"/>
      <c r="J16" s="54"/>
      <c r="K16" s="54"/>
    </row>
    <row r="18" spans="2:9" x14ac:dyDescent="0.35">
      <c r="B18" s="52" t="s">
        <v>74</v>
      </c>
      <c r="C18" s="52"/>
      <c r="D18" s="52"/>
      <c r="E18" s="52"/>
    </row>
    <row r="20" spans="2:9" x14ac:dyDescent="0.35">
      <c r="B20" s="7" t="s">
        <v>9</v>
      </c>
      <c r="C20" s="7" t="s">
        <v>5</v>
      </c>
      <c r="D20" s="7" t="s">
        <v>6</v>
      </c>
      <c r="E20" s="7" t="s">
        <v>7</v>
      </c>
      <c r="F20" s="7" t="s">
        <v>8</v>
      </c>
      <c r="G20" s="7" t="s">
        <v>11</v>
      </c>
      <c r="H20" s="7" t="s">
        <v>12</v>
      </c>
    </row>
    <row r="21" spans="2:9" ht="15" thickBot="1" x14ac:dyDescent="0.4">
      <c r="B21" s="8"/>
      <c r="C21" s="8"/>
      <c r="D21" s="8"/>
      <c r="E21" s="8"/>
      <c r="F21" s="8"/>
      <c r="G21" s="8" t="s">
        <v>10</v>
      </c>
      <c r="H21" s="8" t="s">
        <v>13</v>
      </c>
    </row>
    <row r="22" spans="2:9" ht="15" thickBot="1" x14ac:dyDescent="0.4">
      <c r="B22" s="9">
        <v>1</v>
      </c>
      <c r="C22">
        <v>112.84099999999999</v>
      </c>
      <c r="D22" s="10"/>
      <c r="E22" s="11">
        <f>C22-$D$24</f>
        <v>0.492999999999995</v>
      </c>
      <c r="F22" s="11">
        <f>E22*E22</f>
        <v>0.24304899999999507</v>
      </c>
      <c r="G22" s="10"/>
      <c r="H22" s="12"/>
    </row>
    <row r="23" spans="2:9" ht="15" thickBot="1" x14ac:dyDescent="0.4">
      <c r="B23" s="13">
        <v>2</v>
      </c>
      <c r="C23">
        <v>113.96599999999999</v>
      </c>
      <c r="D23"/>
      <c r="E23" s="11">
        <f t="shared" ref="E23:E26" si="0">C23-$D$24</f>
        <v>1.617999999999995</v>
      </c>
      <c r="F23" s="11">
        <f t="shared" ref="F23:F26" si="1">E23*E23</f>
        <v>2.6179239999999839</v>
      </c>
      <c r="G23"/>
      <c r="H23" s="14"/>
    </row>
    <row r="24" spans="2:9" ht="15" thickBot="1" x14ac:dyDescent="0.4">
      <c r="B24" s="13">
        <v>3</v>
      </c>
      <c r="C24">
        <v>112.446</v>
      </c>
      <c r="D24" s="26">
        <f>AVERAGE(C22:C26)</f>
        <v>112.348</v>
      </c>
      <c r="E24" s="11">
        <f t="shared" si="0"/>
        <v>9.7999999999998977E-2</v>
      </c>
      <c r="F24" s="11">
        <f t="shared" si="1"/>
        <v>9.6039999999998002E-3</v>
      </c>
      <c r="G24" s="26">
        <f>SQRT(F27/4)</f>
        <v>1.8736620559748758</v>
      </c>
      <c r="H24" s="27">
        <f>G24/SQRT(5)</f>
        <v>0.83792714480436759</v>
      </c>
      <c r="I24" s="1" t="s">
        <v>71</v>
      </c>
    </row>
    <row r="25" spans="2:9" ht="15" thickBot="1" x14ac:dyDescent="0.4">
      <c r="B25" s="13">
        <v>4</v>
      </c>
      <c r="C25">
        <v>109.154</v>
      </c>
      <c r="D25"/>
      <c r="E25" s="11">
        <f t="shared" si="0"/>
        <v>-3.1940000000000026</v>
      </c>
      <c r="F25" s="11">
        <f t="shared" si="1"/>
        <v>10.201636000000017</v>
      </c>
      <c r="G25"/>
      <c r="H25" s="14"/>
    </row>
    <row r="26" spans="2:9" ht="15" thickBot="1" x14ac:dyDescent="0.4">
      <c r="B26" s="15">
        <v>5</v>
      </c>
      <c r="C26">
        <v>113.333</v>
      </c>
      <c r="D26" s="16"/>
      <c r="E26" s="17">
        <f t="shared" si="0"/>
        <v>0.98499999999999943</v>
      </c>
      <c r="F26" s="17">
        <f t="shared" si="1"/>
        <v>0.97022499999999889</v>
      </c>
      <c r="G26" s="16"/>
      <c r="H26" s="18"/>
    </row>
    <row r="27" spans="2:9" ht="20" customHeight="1" x14ac:dyDescent="0.35">
      <c r="E27" s="1" t="s">
        <v>14</v>
      </c>
      <c r="F27" s="1">
        <f>SUM(F22:F26)</f>
        <v>14.042437999999995</v>
      </c>
    </row>
    <row r="29" spans="2:9" x14ac:dyDescent="0.35">
      <c r="B29" s="52" t="s">
        <v>75</v>
      </c>
      <c r="C29" s="52"/>
      <c r="D29" s="52"/>
      <c r="E29" s="52"/>
    </row>
    <row r="30" spans="2:9" ht="15" thickBot="1" x14ac:dyDescent="0.4"/>
    <row r="31" spans="2:9" x14ac:dyDescent="0.35">
      <c r="B31" s="9" t="s">
        <v>15</v>
      </c>
      <c r="C31" s="28" t="s">
        <v>16</v>
      </c>
      <c r="D31" s="28" t="s">
        <v>17</v>
      </c>
      <c r="E31" s="28" t="s">
        <v>18</v>
      </c>
      <c r="F31" s="28" t="s">
        <v>19</v>
      </c>
      <c r="G31" s="28" t="s">
        <v>20</v>
      </c>
      <c r="H31" s="29" t="s">
        <v>21</v>
      </c>
    </row>
    <row r="32" spans="2:9" ht="15" thickBot="1" x14ac:dyDescent="0.4">
      <c r="B32" s="6" t="s">
        <v>76</v>
      </c>
      <c r="C32" s="30">
        <v>8.0000000000000002E-3</v>
      </c>
      <c r="D32" s="30" t="s">
        <v>22</v>
      </c>
      <c r="E32" s="30">
        <v>2</v>
      </c>
      <c r="F32" s="30">
        <v>0.01</v>
      </c>
      <c r="G32" s="30" t="s">
        <v>22</v>
      </c>
      <c r="H32" s="31">
        <v>0.02</v>
      </c>
    </row>
    <row r="35" spans="2:12" ht="29.5" customHeight="1" x14ac:dyDescent="0.35">
      <c r="B35" s="19" t="s">
        <v>23</v>
      </c>
      <c r="C35" s="19" t="s">
        <v>24</v>
      </c>
      <c r="D35" s="19" t="s">
        <v>25</v>
      </c>
      <c r="E35" s="19" t="s">
        <v>26</v>
      </c>
      <c r="F35" s="19" t="s">
        <v>27</v>
      </c>
      <c r="G35" s="19" t="s">
        <v>28</v>
      </c>
      <c r="H35" s="19" t="s">
        <v>29</v>
      </c>
      <c r="I35" s="19" t="s">
        <v>30</v>
      </c>
      <c r="J35" s="19" t="s">
        <v>39</v>
      </c>
      <c r="K35" s="19" t="s">
        <v>31</v>
      </c>
    </row>
    <row r="36" spans="2:12" ht="24.5" customHeight="1" x14ac:dyDescent="0.35">
      <c r="B36" s="7" t="s">
        <v>32</v>
      </c>
      <c r="C36" s="22">
        <f>G24</f>
        <v>1.8736620559748758</v>
      </c>
      <c r="D36" s="7" t="s">
        <v>33</v>
      </c>
      <c r="E36" s="22" t="s">
        <v>35</v>
      </c>
      <c r="F36" s="23" t="s">
        <v>37</v>
      </c>
      <c r="G36" s="22">
        <f>SQRT(5)</f>
        <v>2.2360679774997898</v>
      </c>
      <c r="H36" s="22">
        <f>C36/G36</f>
        <v>0.83792714480436759</v>
      </c>
      <c r="I36" s="22">
        <f>H36^2</f>
        <v>0.70212189999999963</v>
      </c>
      <c r="J36" s="22">
        <v>4</v>
      </c>
      <c r="K36" s="22">
        <f>E41</f>
        <v>-4.6693156640237437</v>
      </c>
      <c r="L36" s="1" t="s">
        <v>22</v>
      </c>
    </row>
    <row r="37" spans="2:12" ht="22.5" customHeight="1" x14ac:dyDescent="0.35">
      <c r="B37" s="22" t="s">
        <v>77</v>
      </c>
      <c r="C37" s="22">
        <f>C32</f>
        <v>8.0000000000000002E-3</v>
      </c>
      <c r="D37" s="7" t="s">
        <v>34</v>
      </c>
      <c r="E37" s="22" t="s">
        <v>35</v>
      </c>
      <c r="F37" s="23" t="s">
        <v>37</v>
      </c>
      <c r="G37" s="22">
        <f>SQRT(5)</f>
        <v>2.2360679774997898</v>
      </c>
      <c r="H37" s="22">
        <f>C37/G37</f>
        <v>3.5777087639996632E-3</v>
      </c>
      <c r="I37" s="22">
        <f t="shared" ref="I37:I39" si="2">H37^2</f>
        <v>1.2799999999999998E-5</v>
      </c>
      <c r="J37" s="23" t="s">
        <v>40</v>
      </c>
      <c r="K37" s="22">
        <v>1</v>
      </c>
      <c r="L37" s="1" t="s">
        <v>22</v>
      </c>
    </row>
    <row r="38" spans="2:12" ht="20.5" customHeight="1" x14ac:dyDescent="0.35">
      <c r="B38" s="22" t="s">
        <v>78</v>
      </c>
      <c r="C38" s="22">
        <f>F32</f>
        <v>0.01</v>
      </c>
      <c r="D38" s="7" t="s">
        <v>34</v>
      </c>
      <c r="E38" s="22" t="s">
        <v>36</v>
      </c>
      <c r="F38" s="23" t="s">
        <v>38</v>
      </c>
      <c r="G38" s="22">
        <f>SQRT(3)</f>
        <v>1.7320508075688772</v>
      </c>
      <c r="H38" s="22">
        <f>C38/G38</f>
        <v>5.773502691896258E-3</v>
      </c>
      <c r="I38" s="22">
        <f t="shared" si="2"/>
        <v>3.3333333333333335E-5</v>
      </c>
      <c r="J38" s="23" t="s">
        <v>40</v>
      </c>
      <c r="K38" s="22">
        <v>1</v>
      </c>
      <c r="L38" t="s">
        <v>22</v>
      </c>
    </row>
    <row r="39" spans="2:12" x14ac:dyDescent="0.35">
      <c r="B39" t="s">
        <v>79</v>
      </c>
      <c r="C39" s="1">
        <v>0.02</v>
      </c>
      <c r="D39" s="49" t="s">
        <v>34</v>
      </c>
      <c r="E39" s="22" t="s">
        <v>36</v>
      </c>
      <c r="F39" s="23" t="s">
        <v>38</v>
      </c>
      <c r="G39">
        <f>SQRT(3)</f>
        <v>1.7320508075688772</v>
      </c>
      <c r="H39" s="1">
        <f>C39/G39</f>
        <v>1.1547005383792516E-2</v>
      </c>
      <c r="I39" s="22">
        <f t="shared" si="2"/>
        <v>1.3333333333333334E-4</v>
      </c>
      <c r="J39" s="23" t="s">
        <v>40</v>
      </c>
      <c r="K39" s="1">
        <v>1</v>
      </c>
    </row>
    <row r="40" spans="2:12" x14ac:dyDescent="0.35">
      <c r="B40" s="20" t="s">
        <v>81</v>
      </c>
      <c r="C40" s="1" t="s">
        <v>65</v>
      </c>
      <c r="G40" s="1" t="s">
        <v>42</v>
      </c>
      <c r="I40" s="35" t="s">
        <v>80</v>
      </c>
    </row>
    <row r="41" spans="2:12" x14ac:dyDescent="0.35">
      <c r="B41" s="20" t="s">
        <v>82</v>
      </c>
      <c r="C41" s="1">
        <f>-D49/((D24^2))</f>
        <v>-5.5724601989280318</v>
      </c>
      <c r="D41" s="1" t="s">
        <v>55</v>
      </c>
      <c r="E41" s="1">
        <f>H36*C41</f>
        <v>-4.6693156640237437</v>
      </c>
      <c r="I41" s="24">
        <f>SQRT((I36)+(I37)+(I38)+(I39))</f>
        <v>0.83803422762239632</v>
      </c>
      <c r="J41" t="s">
        <v>22</v>
      </c>
    </row>
    <row r="43" spans="2:12" x14ac:dyDescent="0.35">
      <c r="B43" s="52" t="s">
        <v>83</v>
      </c>
      <c r="C43" s="52"/>
      <c r="D43" s="52"/>
      <c r="E43" s="52"/>
    </row>
    <row r="45" spans="2:12" x14ac:dyDescent="0.35">
      <c r="B45" s="7" t="s">
        <v>9</v>
      </c>
      <c r="C45" s="7" t="s">
        <v>5</v>
      </c>
      <c r="D45" s="7" t="s">
        <v>6</v>
      </c>
      <c r="E45" s="7" t="s">
        <v>7</v>
      </c>
      <c r="F45" s="7" t="s">
        <v>8</v>
      </c>
      <c r="G45" s="7" t="s">
        <v>11</v>
      </c>
      <c r="H45" s="7" t="s">
        <v>12</v>
      </c>
    </row>
    <row r="46" spans="2:12" x14ac:dyDescent="0.35">
      <c r="B46" s="7"/>
      <c r="C46" s="7"/>
      <c r="D46" s="7"/>
      <c r="E46" s="7"/>
      <c r="F46" s="7"/>
      <c r="G46" s="7" t="s">
        <v>10</v>
      </c>
      <c r="H46" s="7" t="s">
        <v>13</v>
      </c>
    </row>
    <row r="47" spans="2:12" x14ac:dyDescent="0.35">
      <c r="B47" s="22">
        <v>1</v>
      </c>
      <c r="C47">
        <v>69780</v>
      </c>
      <c r="D47" s="22"/>
      <c r="E47" s="22">
        <f>C47-$D$49</f>
        <v>-556</v>
      </c>
      <c r="F47" s="22">
        <f>E47*E47</f>
        <v>309136</v>
      </c>
      <c r="G47" s="22"/>
      <c r="H47" s="21"/>
    </row>
    <row r="48" spans="2:12" x14ac:dyDescent="0.35">
      <c r="B48" s="22">
        <v>2</v>
      </c>
      <c r="C48">
        <v>70480</v>
      </c>
      <c r="D48" s="22"/>
      <c r="E48" s="22">
        <f t="shared" ref="E48:E51" si="3">C48-$D$49</f>
        <v>144</v>
      </c>
      <c r="F48" s="22">
        <f t="shared" ref="F48:F51" si="4">E48*E48</f>
        <v>20736</v>
      </c>
      <c r="G48" s="22"/>
      <c r="H48" s="21"/>
    </row>
    <row r="49" spans="2:9" x14ac:dyDescent="0.35">
      <c r="B49" s="22">
        <v>3</v>
      </c>
      <c r="C49">
        <v>68820</v>
      </c>
      <c r="D49" s="25">
        <f>AVERAGE(C47:C51)</f>
        <v>70336</v>
      </c>
      <c r="E49" s="22">
        <f t="shared" si="3"/>
        <v>-1516</v>
      </c>
      <c r="F49" s="22">
        <f t="shared" si="4"/>
        <v>2298256</v>
      </c>
      <c r="G49" s="25">
        <f>SQRT(F53/4)</f>
        <v>1194.1021731828478</v>
      </c>
      <c r="H49" s="25">
        <f>G49/SQRT(5)</f>
        <v>534.01872626341481</v>
      </c>
      <c r="I49" s="1" t="s">
        <v>87</v>
      </c>
    </row>
    <row r="50" spans="2:9" x14ac:dyDescent="0.35">
      <c r="B50" s="22">
        <v>4</v>
      </c>
      <c r="C50">
        <v>72080</v>
      </c>
      <c r="D50" s="22"/>
      <c r="E50" s="22">
        <f t="shared" si="3"/>
        <v>1744</v>
      </c>
      <c r="F50" s="22">
        <f t="shared" si="4"/>
        <v>3041536</v>
      </c>
      <c r="G50" s="22"/>
      <c r="H50" s="21"/>
    </row>
    <row r="51" spans="2:9" x14ac:dyDescent="0.35">
      <c r="B51" s="22">
        <v>5</v>
      </c>
      <c r="C51">
        <v>70520</v>
      </c>
      <c r="D51" s="22"/>
      <c r="E51" s="22">
        <f t="shared" si="3"/>
        <v>184</v>
      </c>
      <c r="F51" s="22">
        <f t="shared" si="4"/>
        <v>33856</v>
      </c>
      <c r="G51" s="22"/>
      <c r="H51" s="21"/>
    </row>
    <row r="53" spans="2:9" x14ac:dyDescent="0.35">
      <c r="E53" s="20" t="s">
        <v>14</v>
      </c>
      <c r="F53" s="1">
        <f>SUM(F47:F51)</f>
        <v>5703520</v>
      </c>
      <c r="G53" s="1" t="s">
        <v>86</v>
      </c>
    </row>
    <row r="55" spans="2:9" x14ac:dyDescent="0.35">
      <c r="B55" s="52" t="s">
        <v>84</v>
      </c>
      <c r="C55" s="52"/>
      <c r="D55" s="52"/>
      <c r="E55" s="52"/>
    </row>
    <row r="56" spans="2:9" ht="15" thickBot="1" x14ac:dyDescent="0.4"/>
    <row r="57" spans="2:9" x14ac:dyDescent="0.35">
      <c r="B57" s="32" t="s">
        <v>15</v>
      </c>
      <c r="C57" s="28" t="s">
        <v>16</v>
      </c>
      <c r="D57" s="28" t="s">
        <v>17</v>
      </c>
      <c r="E57" s="28" t="s">
        <v>18</v>
      </c>
      <c r="F57" s="28" t="s">
        <v>19</v>
      </c>
      <c r="G57" s="28" t="s">
        <v>20</v>
      </c>
      <c r="H57" s="28" t="s">
        <v>21</v>
      </c>
      <c r="I57" s="50" t="s">
        <v>89</v>
      </c>
    </row>
    <row r="58" spans="2:9" ht="15" thickBot="1" x14ac:dyDescent="0.4">
      <c r="B58" s="5" t="s">
        <v>85</v>
      </c>
      <c r="C58" s="30">
        <v>0.372</v>
      </c>
      <c r="D58" s="30" t="s">
        <v>60</v>
      </c>
      <c r="E58" s="30">
        <v>2</v>
      </c>
      <c r="F58" s="30">
        <v>20</v>
      </c>
      <c r="G58" s="30" t="s">
        <v>87</v>
      </c>
      <c r="H58" s="30" t="s">
        <v>88</v>
      </c>
      <c r="I58" s="51">
        <v>400000</v>
      </c>
    </row>
    <row r="59" spans="2:9" x14ac:dyDescent="0.35">
      <c r="B59" s="24" t="s">
        <v>63</v>
      </c>
    </row>
    <row r="60" spans="2:9" x14ac:dyDescent="0.35">
      <c r="B60" s="7" t="s">
        <v>9</v>
      </c>
      <c r="C60" s="7" t="s">
        <v>5</v>
      </c>
      <c r="D60" s="7" t="s">
        <v>6</v>
      </c>
      <c r="E60" s="7" t="s">
        <v>7</v>
      </c>
      <c r="F60" s="7" t="s">
        <v>8</v>
      </c>
      <c r="G60" s="7" t="s">
        <v>11</v>
      </c>
      <c r="H60" s="7" t="s">
        <v>12</v>
      </c>
    </row>
    <row r="61" spans="2:9" x14ac:dyDescent="0.35">
      <c r="B61" s="7"/>
      <c r="C61" s="7"/>
      <c r="D61" s="7"/>
      <c r="E61" s="7"/>
      <c r="F61" s="7"/>
      <c r="G61" s="7" t="s">
        <v>10</v>
      </c>
      <c r="H61" s="7" t="s">
        <v>13</v>
      </c>
    </row>
    <row r="62" spans="2:9" x14ac:dyDescent="0.35">
      <c r="B62" s="22">
        <v>1</v>
      </c>
      <c r="C62" s="22">
        <f>C47/($D$24)</f>
        <v>621.10584968134719</v>
      </c>
      <c r="D62" s="22"/>
      <c r="E62" s="22">
        <f>C62-$D$64</f>
        <v>-4.9489087478192459</v>
      </c>
      <c r="F62" s="22">
        <f>E62*E62</f>
        <v>24.491697794241858</v>
      </c>
      <c r="G62" s="22"/>
      <c r="H62" s="21"/>
    </row>
    <row r="63" spans="2:9" x14ac:dyDescent="0.35">
      <c r="B63" s="22">
        <v>2</v>
      </c>
      <c r="C63" s="22">
        <f t="shared" ref="C63:C66" si="5">C48/($D$24)</f>
        <v>627.33649019119161</v>
      </c>
      <c r="D63" s="22"/>
      <c r="E63" s="22">
        <f t="shared" ref="E63:E66" si="6">C63-$D$64</f>
        <v>1.2817317620251742</v>
      </c>
      <c r="F63" s="22">
        <f t="shared" ref="F63:F66" si="7">E63*E63</f>
        <v>1.6428363097841578</v>
      </c>
      <c r="G63" s="22"/>
      <c r="H63" s="21"/>
    </row>
    <row r="64" spans="2:9" x14ac:dyDescent="0.35">
      <c r="B64" s="22">
        <v>3</v>
      </c>
      <c r="C64" s="22">
        <f t="shared" si="5"/>
        <v>612.5609712678463</v>
      </c>
      <c r="D64" s="25">
        <f>AVERAGE(C62:C66)</f>
        <v>626.05475842916644</v>
      </c>
      <c r="E64" s="22">
        <f t="shared" si="6"/>
        <v>-13.493787161320142</v>
      </c>
      <c r="F64" s="22">
        <f t="shared" si="7"/>
        <v>182.08229195500832</v>
      </c>
      <c r="G64" s="25">
        <f>SQRT(F68/4)</f>
        <v>10.628601961609007</v>
      </c>
      <c r="H64" s="25">
        <f>G64/SQRT(5)</f>
        <v>4.7532552983890701</v>
      </c>
      <c r="I64" s="1" t="s">
        <v>90</v>
      </c>
    </row>
    <row r="65" spans="2:12" x14ac:dyDescent="0.35">
      <c r="B65" s="22">
        <v>4</v>
      </c>
      <c r="C65" s="22">
        <f t="shared" si="5"/>
        <v>641.57795421369315</v>
      </c>
      <c r="D65" s="22"/>
      <c r="E65" s="22">
        <f t="shared" si="6"/>
        <v>15.523195784526706</v>
      </c>
      <c r="F65" s="22">
        <f t="shared" si="7"/>
        <v>240.9696073647477</v>
      </c>
      <c r="G65" s="22"/>
      <c r="H65" s="21"/>
    </row>
    <row r="66" spans="2:12" x14ac:dyDescent="0.35">
      <c r="B66" s="22">
        <v>5</v>
      </c>
      <c r="C66" s="22">
        <f t="shared" si="5"/>
        <v>627.69252679175418</v>
      </c>
      <c r="D66" s="22"/>
      <c r="E66" s="22">
        <f t="shared" si="6"/>
        <v>1.6377683625877353</v>
      </c>
      <c r="F66" s="22">
        <f t="shared" si="7"/>
        <v>2.6822852094933114</v>
      </c>
      <c r="G66" s="22"/>
      <c r="H66" s="21"/>
    </row>
    <row r="68" spans="2:12" x14ac:dyDescent="0.35">
      <c r="E68" s="20" t="s">
        <v>14</v>
      </c>
      <c r="F68" s="1">
        <f>SUM(F62:F66)</f>
        <v>451.86871863327536</v>
      </c>
      <c r="G68" s="1" t="s">
        <v>91</v>
      </c>
    </row>
    <row r="71" spans="2:12" ht="24" customHeight="1" x14ac:dyDescent="0.35">
      <c r="B71" s="19" t="s">
        <v>23</v>
      </c>
      <c r="C71" s="19" t="s">
        <v>24</v>
      </c>
      <c r="D71" s="19" t="s">
        <v>25</v>
      </c>
      <c r="E71" s="19" t="s">
        <v>26</v>
      </c>
      <c r="F71" s="19" t="s">
        <v>27</v>
      </c>
      <c r="G71" s="19" t="s">
        <v>28</v>
      </c>
      <c r="H71" s="19" t="s">
        <v>29</v>
      </c>
      <c r="I71" s="19" t="s">
        <v>50</v>
      </c>
      <c r="J71" s="19" t="s">
        <v>39</v>
      </c>
      <c r="K71" s="19" t="s">
        <v>31</v>
      </c>
    </row>
    <row r="72" spans="2:12" ht="24" customHeight="1" x14ac:dyDescent="0.35">
      <c r="B72" s="34" t="s">
        <v>92</v>
      </c>
      <c r="C72" s="23">
        <f>G49</f>
        <v>1194.1021731828478</v>
      </c>
      <c r="D72" s="23" t="s">
        <v>33</v>
      </c>
      <c r="E72" s="23" t="s">
        <v>35</v>
      </c>
      <c r="F72" s="23" t="s">
        <v>37</v>
      </c>
      <c r="G72" s="23">
        <f>SQRT(5)</f>
        <v>2.2360679774997898</v>
      </c>
      <c r="H72" s="23">
        <f>C72/G72</f>
        <v>534.01872626341481</v>
      </c>
      <c r="I72" s="23">
        <f>H72^2</f>
        <v>285175.99999999994</v>
      </c>
      <c r="J72" s="33">
        <v>4</v>
      </c>
      <c r="K72" s="33">
        <f>E77</f>
        <v>4.7532552983890657</v>
      </c>
      <c r="L72" s="1" t="s">
        <v>87</v>
      </c>
    </row>
    <row r="73" spans="2:12" ht="22.5" customHeight="1" x14ac:dyDescent="0.35">
      <c r="B73" s="22" t="s">
        <v>95</v>
      </c>
      <c r="C73" s="23">
        <f>G64</f>
        <v>10.628601961609007</v>
      </c>
      <c r="D73" s="23" t="s">
        <v>33</v>
      </c>
      <c r="E73" s="23" t="s">
        <v>35</v>
      </c>
      <c r="F73" s="23" t="s">
        <v>37</v>
      </c>
      <c r="G73" s="23">
        <f>SQRT(5)</f>
        <v>2.2360679774997898</v>
      </c>
      <c r="H73" s="23">
        <f>C73/G73</f>
        <v>4.7532552983890701</v>
      </c>
      <c r="I73" s="23">
        <f>H73^2</f>
        <v>22.59343593166377</v>
      </c>
      <c r="J73" s="23">
        <v>4</v>
      </c>
      <c r="K73" s="23">
        <v>1</v>
      </c>
      <c r="L73" s="1" t="s">
        <v>90</v>
      </c>
    </row>
    <row r="74" spans="2:12" ht="24" customHeight="1" x14ac:dyDescent="0.35">
      <c r="B74" s="22" t="s">
        <v>93</v>
      </c>
      <c r="C74" s="23">
        <f>(C58*I58)/100</f>
        <v>1488</v>
      </c>
      <c r="D74" s="23" t="s">
        <v>34</v>
      </c>
      <c r="E74" s="23" t="s">
        <v>35</v>
      </c>
      <c r="F74" s="23">
        <v>2</v>
      </c>
      <c r="G74" s="23">
        <f>F74</f>
        <v>2</v>
      </c>
      <c r="H74" s="23">
        <f>C74/G74</f>
        <v>744</v>
      </c>
      <c r="I74" s="23">
        <f t="shared" ref="I74:I76" si="8">H74^2</f>
        <v>553536</v>
      </c>
      <c r="J74" s="23" t="s">
        <v>40</v>
      </c>
      <c r="K74" s="23">
        <v>1</v>
      </c>
      <c r="L74" s="1" t="s">
        <v>87</v>
      </c>
    </row>
    <row r="75" spans="2:12" ht="22" customHeight="1" x14ac:dyDescent="0.35">
      <c r="B75" s="22" t="s">
        <v>94</v>
      </c>
      <c r="C75" s="23">
        <f>F58</f>
        <v>20</v>
      </c>
      <c r="D75" s="23" t="s">
        <v>34</v>
      </c>
      <c r="E75" s="23" t="s">
        <v>36</v>
      </c>
      <c r="F75" s="23" t="s">
        <v>38</v>
      </c>
      <c r="G75" s="23">
        <f>SQRT(3)</f>
        <v>1.7320508075688772</v>
      </c>
      <c r="H75" s="23">
        <f>C75/G75</f>
        <v>11.547005383792516</v>
      </c>
      <c r="I75" s="23">
        <f t="shared" si="8"/>
        <v>133.33333333333337</v>
      </c>
      <c r="J75" s="23" t="s">
        <v>40</v>
      </c>
      <c r="K75" s="23">
        <v>1</v>
      </c>
      <c r="L75" s="1" t="s">
        <v>87</v>
      </c>
    </row>
    <row r="76" spans="2:12" x14ac:dyDescent="0.35">
      <c r="B76" s="1" t="s">
        <v>96</v>
      </c>
      <c r="C76" s="1">
        <f>(1*D49)/100</f>
        <v>703.36</v>
      </c>
      <c r="D76" s="23" t="s">
        <v>34</v>
      </c>
      <c r="E76" s="23" t="s">
        <v>36</v>
      </c>
      <c r="F76" s="23" t="s">
        <v>38</v>
      </c>
      <c r="G76" s="1">
        <f>SQRT(3)</f>
        <v>1.7320508075688772</v>
      </c>
      <c r="H76" s="1">
        <f>C76/G76</f>
        <v>406.08508533721522</v>
      </c>
      <c r="I76" s="1">
        <f t="shared" si="8"/>
        <v>164905.09653333336</v>
      </c>
      <c r="J76" s="23" t="s">
        <v>40</v>
      </c>
      <c r="K76" s="23">
        <v>1</v>
      </c>
    </row>
    <row r="77" spans="2:12" x14ac:dyDescent="0.35">
      <c r="B77" s="1" t="s">
        <v>100</v>
      </c>
      <c r="C77" s="1">
        <f>1/(D24)</f>
        <v>8.9009150140634454E-3</v>
      </c>
      <c r="D77" s="20" t="s">
        <v>56</v>
      </c>
      <c r="E77" s="1">
        <f>H72*C77</f>
        <v>4.7532552983890657</v>
      </c>
      <c r="I77" s="36" t="s">
        <v>43</v>
      </c>
      <c r="J77" s="53" t="s">
        <v>97</v>
      </c>
      <c r="K77" s="53"/>
    </row>
    <row r="78" spans="2:12" x14ac:dyDescent="0.35">
      <c r="I78"/>
      <c r="J78"/>
      <c r="K78"/>
    </row>
    <row r="79" spans="2:12" x14ac:dyDescent="0.35">
      <c r="B79" s="54" t="s">
        <v>98</v>
      </c>
      <c r="C79" s="54"/>
      <c r="D79" s="54" t="s">
        <v>99</v>
      </c>
      <c r="E79" s="54"/>
      <c r="F79" s="54"/>
      <c r="G79" s="54"/>
      <c r="H79" s="54"/>
      <c r="I79" s="36" t="s">
        <v>44</v>
      </c>
      <c r="J79">
        <f>SQRT(I72+I74+I75+I76)</f>
        <v>1001.8734600071342</v>
      </c>
      <c r="K79" t="s">
        <v>87</v>
      </c>
    </row>
    <row r="81" spans="2:11" x14ac:dyDescent="0.35">
      <c r="C81" s="44" t="s">
        <v>54</v>
      </c>
      <c r="D81" s="3">
        <f>(SQRT((J79/D49)^2+(I41/D24)^2))*D64</f>
        <v>10.06635496840804</v>
      </c>
      <c r="E81" s="3" t="s">
        <v>41</v>
      </c>
      <c r="I81"/>
    </row>
    <row r="82" spans="2:11" x14ac:dyDescent="0.35">
      <c r="J82" s="1">
        <f>SQRT((J79*K72)^2)</f>
        <v>4762.1603320942968</v>
      </c>
    </row>
    <row r="83" spans="2:11" x14ac:dyDescent="0.35">
      <c r="B83" s="1" t="s">
        <v>57</v>
      </c>
      <c r="C83" s="43" t="s">
        <v>58</v>
      </c>
      <c r="D83" s="20" t="s">
        <v>62</v>
      </c>
      <c r="E83" s="1">
        <f>(D81^4)/(((C77*J79)^4/J73)+((C41*I41)^4/J36))</f>
        <v>6.0404279083951931</v>
      </c>
    </row>
    <row r="84" spans="2:11" x14ac:dyDescent="0.35">
      <c r="C84" t="s">
        <v>59</v>
      </c>
    </row>
    <row r="88" spans="2:11" x14ac:dyDescent="0.35">
      <c r="B88" s="1" t="s">
        <v>45</v>
      </c>
      <c r="C88" s="37">
        <v>0.95</v>
      </c>
      <c r="D88" s="1" t="s">
        <v>46</v>
      </c>
      <c r="E88">
        <v>2.444</v>
      </c>
      <c r="G88" s="52" t="s">
        <v>101</v>
      </c>
      <c r="H88" s="52"/>
    </row>
    <row r="89" spans="2:11" ht="15" thickBot="1" x14ac:dyDescent="0.4"/>
    <row r="90" spans="2:11" ht="17.5" thickBot="1" x14ac:dyDescent="0.45">
      <c r="B90" s="45" t="s">
        <v>47</v>
      </c>
      <c r="C90" s="46"/>
      <c r="D90" s="47" t="s">
        <v>48</v>
      </c>
      <c r="E90" s="46"/>
      <c r="F90" s="46"/>
      <c r="G90" s="46"/>
      <c r="H90" s="46">
        <f>D81*E88</f>
        <v>24.60217154278925</v>
      </c>
      <c r="I90" s="46" t="s">
        <v>90</v>
      </c>
      <c r="J90" s="39"/>
      <c r="K90" s="38"/>
    </row>
    <row r="92" spans="2:11" ht="15" thickBot="1" x14ac:dyDescent="0.4"/>
    <row r="93" spans="2:11" x14ac:dyDescent="0.35">
      <c r="B93" s="55" t="s">
        <v>104</v>
      </c>
      <c r="C93" s="56"/>
      <c r="D93" s="57"/>
    </row>
    <row r="94" spans="2:11" ht="15" thickBot="1" x14ac:dyDescent="0.4">
      <c r="B94" s="40" t="s">
        <v>49</v>
      </c>
      <c r="C94" s="41"/>
      <c r="D94" s="42"/>
    </row>
    <row r="95" spans="2:11" x14ac:dyDescent="0.35">
      <c r="B95" s="44" t="s">
        <v>61</v>
      </c>
      <c r="C95" s="3">
        <f>(H90/D64)*100</f>
        <v>3.9297156057911833</v>
      </c>
      <c r="D95" s="3" t="s">
        <v>60</v>
      </c>
    </row>
  </sheetData>
  <mergeCells count="17">
    <mergeCell ref="E3:J4"/>
    <mergeCell ref="A1:N1"/>
    <mergeCell ref="B7:E8"/>
    <mergeCell ref="B9:E9"/>
    <mergeCell ref="B29:E29"/>
    <mergeCell ref="B18:E18"/>
    <mergeCell ref="B43:E43"/>
    <mergeCell ref="B10:E10"/>
    <mergeCell ref="B11:E11"/>
    <mergeCell ref="A14:B14"/>
    <mergeCell ref="B16:K16"/>
    <mergeCell ref="B55:E55"/>
    <mergeCell ref="J77:K77"/>
    <mergeCell ref="B79:C79"/>
    <mergeCell ref="D79:H79"/>
    <mergeCell ref="B93:D93"/>
    <mergeCell ref="G88:H88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JAISWAL</dc:creator>
  <cp:lastModifiedBy>KARTIK JAISWAL</cp:lastModifiedBy>
  <dcterms:created xsi:type="dcterms:W3CDTF">2025-06-23T17:00:45Z</dcterms:created>
  <dcterms:modified xsi:type="dcterms:W3CDTF">2025-07-24T04:58:25Z</dcterms:modified>
</cp:coreProperties>
</file>