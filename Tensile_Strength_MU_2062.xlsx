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53d1e4fdfddcf/Desktop/"/>
    </mc:Choice>
  </mc:AlternateContent>
  <xr:revisionPtr revIDLastSave="25" documentId="8_{935ACBB6-2C56-47FA-AAA0-84965E132801}" xr6:coauthVersionLast="47" xr6:coauthVersionMax="47" xr10:uidLastSave="{3E75A4C8-17FC-441D-8E77-30FE13E4C341}"/>
  <bookViews>
    <workbookView xWindow="2760" yWindow="2760" windowWidth="14400" windowHeight="8120" xr2:uid="{D707E43A-8117-4162-9282-C7C7D26B116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4" i="1" l="1"/>
  <c r="C77" i="1"/>
  <c r="C63" i="1"/>
  <c r="C64" i="1"/>
  <c r="C65" i="1"/>
  <c r="C66" i="1"/>
  <c r="C62" i="1"/>
  <c r="Y39" i="1"/>
  <c r="AC39" i="1"/>
  <c r="AC38" i="1"/>
  <c r="Y38" i="1"/>
  <c r="AD38" i="1" s="1"/>
  <c r="AE38" i="1" s="1"/>
  <c r="AC37" i="1"/>
  <c r="Y37" i="1"/>
  <c r="AD37" i="1" s="1"/>
  <c r="AE37" i="1" s="1"/>
  <c r="AC36" i="1"/>
  <c r="Z24" i="1"/>
  <c r="AA25" i="1" l="1"/>
  <c r="AB25" i="1" s="1"/>
  <c r="AA22" i="1"/>
  <c r="AB22" i="1" s="1"/>
  <c r="AA26" i="1"/>
  <c r="AB26" i="1" s="1"/>
  <c r="AA24" i="1"/>
  <c r="AB24" i="1" s="1"/>
  <c r="AA23" i="1"/>
  <c r="AB23" i="1" s="1"/>
  <c r="AD39" i="1"/>
  <c r="AE39" i="1" s="1"/>
  <c r="AB27" i="1" l="1"/>
  <c r="AC24" i="1" s="1"/>
  <c r="Y36" i="1" s="1"/>
  <c r="AD36" i="1" s="1"/>
  <c r="AD24" i="1" l="1"/>
  <c r="AE36" i="1"/>
  <c r="AE41" i="1" s="1"/>
  <c r="G76" i="1" l="1"/>
  <c r="C74" i="1"/>
  <c r="G74" i="1"/>
  <c r="G75" i="1"/>
  <c r="D49" i="1"/>
  <c r="I39" i="1"/>
  <c r="H39" i="1"/>
  <c r="G39" i="1"/>
  <c r="G37" i="1"/>
  <c r="C76" i="1" l="1"/>
  <c r="H76" i="1" s="1"/>
  <c r="I76" i="1" s="1"/>
  <c r="Y41" i="1"/>
  <c r="AA41" i="1" s="1"/>
  <c r="AG36" i="1" s="1"/>
  <c r="C38" i="1"/>
  <c r="H38" i="1" s="1"/>
  <c r="C75" i="1"/>
  <c r="G36" i="1"/>
  <c r="G72" i="1"/>
  <c r="G73" i="1"/>
  <c r="E48" i="1"/>
  <c r="F48" i="1" s="1"/>
  <c r="G38" i="1"/>
  <c r="C37" i="1"/>
  <c r="D24" i="1"/>
  <c r="E23" i="1" l="1"/>
  <c r="F23" i="1" s="1"/>
  <c r="C41" i="1"/>
  <c r="H75" i="1"/>
  <c r="I75" i="1" s="1"/>
  <c r="H37" i="1"/>
  <c r="I37" i="1" s="1"/>
  <c r="I38" i="1"/>
  <c r="H74" i="1"/>
  <c r="I74" i="1" s="1"/>
  <c r="E47" i="1"/>
  <c r="F47" i="1" s="1"/>
  <c r="E22" i="1"/>
  <c r="F22" i="1" s="1"/>
  <c r="E51" i="1"/>
  <c r="F51" i="1" s="1"/>
  <c r="E26" i="1"/>
  <c r="F26" i="1" s="1"/>
  <c r="E50" i="1"/>
  <c r="F50" i="1" s="1"/>
  <c r="E25" i="1"/>
  <c r="F25" i="1" s="1"/>
  <c r="E49" i="1"/>
  <c r="F49" i="1" s="1"/>
  <c r="E24" i="1"/>
  <c r="F24" i="1" s="1"/>
  <c r="D64" i="1" l="1"/>
  <c r="F27" i="1"/>
  <c r="G24" i="1" s="1"/>
  <c r="F53" i="1"/>
  <c r="G49" i="1" s="1"/>
  <c r="C72" i="1" s="1"/>
  <c r="E66" i="1" l="1"/>
  <c r="F66" i="1" s="1"/>
  <c r="C36" i="1"/>
  <c r="H36" i="1" s="1"/>
  <c r="E41" i="1" s="1"/>
  <c r="K36" i="1" s="1"/>
  <c r="H24" i="1"/>
  <c r="E63" i="1"/>
  <c r="F63" i="1" s="1"/>
  <c r="H49" i="1"/>
  <c r="H72" i="1"/>
  <c r="E64" i="1"/>
  <c r="F64" i="1" s="1"/>
  <c r="E62" i="1"/>
  <c r="F62" i="1" s="1"/>
  <c r="E65" i="1"/>
  <c r="F65" i="1" s="1"/>
  <c r="I72" i="1" l="1"/>
  <c r="J79" i="1" s="1"/>
  <c r="D81" i="1" s="1"/>
  <c r="E83" i="1" s="1"/>
  <c r="E77" i="1"/>
  <c r="K72" i="1" s="1"/>
  <c r="I36" i="1"/>
  <c r="I41" i="1" s="1"/>
  <c r="F68" i="1"/>
  <c r="G64" i="1" s="1"/>
  <c r="J82" i="1" l="1"/>
  <c r="C73" i="1"/>
  <c r="H73" i="1" s="1"/>
  <c r="I73" i="1" s="1"/>
  <c r="H64" i="1"/>
  <c r="H90" i="1" l="1"/>
  <c r="C95" i="1" l="1"/>
  <c r="B93" i="1"/>
</calcChain>
</file>

<file path=xl/sharedStrings.xml><?xml version="1.0" encoding="utf-8"?>
<sst xmlns="http://schemas.openxmlformats.org/spreadsheetml/2006/main" count="245" uniqueCount="113">
  <si>
    <t>UNCERTAINTY CALCULTAIONS</t>
  </si>
  <si>
    <t xml:space="preserve"> BUREAU OF INDIAN STANDARDS GUWAHATI LABORATORY </t>
  </si>
  <si>
    <t>PRODUCT</t>
  </si>
  <si>
    <t>PRODUCT IS</t>
  </si>
  <si>
    <t>PARAMETER</t>
  </si>
  <si>
    <t>Result (xi)</t>
  </si>
  <si>
    <t>Mean (xm)</t>
  </si>
  <si>
    <t>xi - xm</t>
  </si>
  <si>
    <t>(xi - xm)2</t>
  </si>
  <si>
    <t>S.NO.</t>
  </si>
  <si>
    <t>√∑(xi - xm)2/n - 1</t>
  </si>
  <si>
    <t>SD</t>
  </si>
  <si>
    <t>Std. uncertainty</t>
  </si>
  <si>
    <t>SD/√n</t>
  </si>
  <si>
    <t>∑(xi - xm)2=</t>
  </si>
  <si>
    <t>Equipment's</t>
  </si>
  <si>
    <t>Declared MU</t>
  </si>
  <si>
    <t>Declared Unit</t>
  </si>
  <si>
    <t>At Factor K =</t>
  </si>
  <si>
    <t>Least Count</t>
  </si>
  <si>
    <t>Unit</t>
  </si>
  <si>
    <t>Accuracy</t>
  </si>
  <si>
    <t>mm</t>
  </si>
  <si>
    <t>Sources of Uncertainty</t>
  </si>
  <si>
    <t xml:space="preserve">Value     </t>
  </si>
  <si>
    <t>Type Of Disrtibution</t>
  </si>
  <si>
    <t>Probability Distribution</t>
  </si>
  <si>
    <t>Divisor</t>
  </si>
  <si>
    <t>Divisor Value</t>
  </si>
  <si>
    <t xml:space="preserve">Standard Uncertainty </t>
  </si>
  <si>
    <t xml:space="preserve">Uncertainty Contribution U(y) ^2 </t>
  </si>
  <si>
    <t>Sensitivity coefficient      C i</t>
  </si>
  <si>
    <t>Type A</t>
  </si>
  <si>
    <t>Type B</t>
  </si>
  <si>
    <t>Normal</t>
  </si>
  <si>
    <t>Rectangular</t>
  </si>
  <si>
    <t>√n</t>
  </si>
  <si>
    <t>√3</t>
  </si>
  <si>
    <t>Degrees of freedom  V</t>
  </si>
  <si>
    <t>∞</t>
  </si>
  <si>
    <t>Combined Uncertainty (uL) =</t>
  </si>
  <si>
    <t>Combined Uncertainty (uM) =</t>
  </si>
  <si>
    <t>u(M)=</t>
  </si>
  <si>
    <t>Coverage factor K at  =</t>
  </si>
  <si>
    <t xml:space="preserve"> Confidence Level,  K = </t>
  </si>
  <si>
    <t xml:space="preserve">Expanded Uncertainty  = </t>
  </si>
  <si>
    <t>Combined Uncertainity (Uc)  x Coverage Factor</t>
  </si>
  <si>
    <t xml:space="preserve">Uncertainty Contribution U(y)^2 </t>
  </si>
  <si>
    <t>Tested By:</t>
  </si>
  <si>
    <t>Kartik Jaiswal</t>
  </si>
  <si>
    <t>Temperature:</t>
  </si>
  <si>
    <t>Uc=</t>
  </si>
  <si>
    <t>c2*u4=</t>
  </si>
  <si>
    <t>Effective Degree of Freedom=</t>
  </si>
  <si>
    <t>Uc  ^4</t>
  </si>
  <si>
    <t>%</t>
  </si>
  <si>
    <t xml:space="preserve">MU in %  = ± </t>
  </si>
  <si>
    <t>=</t>
  </si>
  <si>
    <t>TENSILE STRENGTH</t>
  </si>
  <si>
    <t>27° C</t>
  </si>
  <si>
    <t>F/A</t>
  </si>
  <si>
    <t xml:space="preserve">           F=</t>
  </si>
  <si>
    <t>FORCE</t>
  </si>
  <si>
    <t>KN</t>
  </si>
  <si>
    <t xml:space="preserve">A= </t>
  </si>
  <si>
    <t>CROSS-SECTIONAL AREA</t>
  </si>
  <si>
    <t>mm^2</t>
  </si>
  <si>
    <t>TENSILE STRENGTH =</t>
  </si>
  <si>
    <t>(B) Uncertainty in AREA (A) estimation ( Type B):</t>
  </si>
  <si>
    <t>DIGIMATIC CALIPER</t>
  </si>
  <si>
    <t>Uncertainty of CALIPER u(x2)</t>
  </si>
  <si>
    <t>Least count for CALIPER u(x3)</t>
  </si>
  <si>
    <t>Accuracy of Calipers u(x4)</t>
  </si>
  <si>
    <t>SQRT (u(x1)^2 + u(x2) ^2+u(x3)^2+u(x4)^2)</t>
  </si>
  <si>
    <t>Rm=</t>
  </si>
  <si>
    <t>(C) Uncertainty in FORCE(F) estimation ( Type A):</t>
  </si>
  <si>
    <t>UTM-40</t>
  </si>
  <si>
    <t>N^2</t>
  </si>
  <si>
    <t>N</t>
  </si>
  <si>
    <t>N/mm^2</t>
  </si>
  <si>
    <t>(N/mm^2)^2</t>
  </si>
  <si>
    <t>Repeatability of TENSILE STRENGTH u(x4)</t>
  </si>
  <si>
    <t>Uncertainty of UTM u(x6)</t>
  </si>
  <si>
    <t>Least count for UTM u(x7)</t>
  </si>
  <si>
    <t>Repeatability of LOAD u(x5)</t>
  </si>
  <si>
    <t>Accuracy of UTM u(x8)</t>
  </si>
  <si>
    <t>SQRT (u(x4)^2 + u(x5) ^2 +u(x6) ^2 +u(x7) ^2+u(x8)^2 )</t>
  </si>
  <si>
    <t>Combined uncertainty for Tensile Strength =</t>
  </si>
  <si>
    <t>c2=dx/dF=</t>
  </si>
  <si>
    <t>From Student-t table</t>
  </si>
  <si>
    <t xml:space="preserve"> HOT ROLLED MEDIUM AND HIGH TENSILE
 STRUCTURAL STEEL</t>
  </si>
  <si>
    <t>w×t</t>
  </si>
  <si>
    <t>(A) Uncertainty in WIDTH (W) estimation ( Type A):</t>
  </si>
  <si>
    <t>Repeatability of WIDTH u(x1)</t>
  </si>
  <si>
    <r>
      <t xml:space="preserve">DIGIMATIC </t>
    </r>
    <r>
      <rPr>
        <sz val="11"/>
        <color theme="1"/>
        <rFont val="Calibri"/>
        <family val="2"/>
        <scheme val="minor"/>
      </rPr>
      <t>EXTERNAL MICROMETER</t>
    </r>
  </si>
  <si>
    <t>Repeatability of THICKNESS u(x1)</t>
  </si>
  <si>
    <t>Uncertainty of MICROMETER u(x2)</t>
  </si>
  <si>
    <t>Least count for MICROMETER u(x3)</t>
  </si>
  <si>
    <t>Accuracy of MICROMETER u(x4)</t>
  </si>
  <si>
    <t>F/(w×t)</t>
  </si>
  <si>
    <t>c1= dx/dw=</t>
  </si>
  <si>
    <t>c3= dx/dt=</t>
  </si>
  <si>
    <t>c3*u3=</t>
  </si>
  <si>
    <t>c1*u1=</t>
  </si>
  <si>
    <t>CAPAITY(N)</t>
  </si>
  <si>
    <t>1% OF READING</t>
  </si>
  <si>
    <t>((u (w)*c1)^4/v1) + (u (F)*c2) ^4/v2 + (u (t)*c3) ^4/v3)</t>
  </si>
  <si>
    <t>U(TENSILE STRENGTH)/Average(TENSILE STRENGTH)=SQRT((u_Force/Avg_Force)^2 + (u_Width/Avg_Width)^2+(u_Thickness/Avg_Thickness)^2)</t>
  </si>
  <si>
    <t>IIT BBS</t>
  </si>
  <si>
    <r>
      <t>B.TECH - 3</t>
    </r>
    <r>
      <rPr>
        <b/>
        <sz val="8"/>
        <color rgb="FFFF0000"/>
        <rFont val="Calibri"/>
        <family val="2"/>
        <scheme val="minor"/>
      </rPr>
      <t xml:space="preserve">RD </t>
    </r>
    <r>
      <rPr>
        <b/>
        <sz val="11"/>
        <color theme="1"/>
        <rFont val="Calibri"/>
        <family val="2"/>
        <scheme val="minor"/>
      </rPr>
      <t>YEAR</t>
    </r>
    <r>
      <rPr>
        <b/>
        <sz val="8"/>
        <color rgb="FFFF0000"/>
        <rFont val="Calibri"/>
        <family val="2"/>
        <scheme val="minor"/>
      </rPr>
      <t xml:space="preserve">  </t>
    </r>
  </si>
  <si>
    <t>(D) Uncertainty in FORCE(F) estimation ( Type B):</t>
  </si>
  <si>
    <t>(E) Uncertainty in THICKNESS (T) estimation ( Type A):</t>
  </si>
  <si>
    <t>(F) Uncertainty in AREA (A) estimation ( Type B):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</si>
</sst>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 Rounded MT Bold"/>
      <family val="2"/>
    </font>
    <font>
      <b/>
      <sz val="16"/>
      <color theme="1"/>
      <name val="Arial Rounded MT Bold"/>
      <family val="2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3"/>
      <color theme="1"/>
      <name val="Calibri"/>
      <family val="2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4" xfId="0" applyFont="1" applyBorder="1"/>
    <xf numFmtId="0" fontId="0" fillId="0" borderId="7" xfId="0" applyBorder="1" applyAlignment="1">
      <alignment horizontal="center"/>
    </xf>
    <xf numFmtId="0" fontId="0" fillId="0" borderId="1" xfId="0" applyBorder="1"/>
    <xf numFmtId="0" fontId="1" fillId="6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7" xfId="0" applyFont="1" applyBorder="1"/>
    <xf numFmtId="0" fontId="0" fillId="0" borderId="7" xfId="0" applyBorder="1"/>
    <xf numFmtId="0" fontId="0" fillId="0" borderId="7" xfId="0" applyBorder="1" applyAlignment="1">
      <alignment horizontal="right"/>
    </xf>
    <xf numFmtId="0" fontId="1" fillId="3" borderId="0" xfId="0" applyFont="1" applyFill="1"/>
    <xf numFmtId="0" fontId="0" fillId="2" borderId="7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right"/>
    </xf>
    <xf numFmtId="0" fontId="0" fillId="0" borderId="7" xfId="0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right"/>
    </xf>
    <xf numFmtId="9" fontId="5" fillId="0" borderId="0" xfId="0" applyNumberFormat="1" applyFont="1"/>
    <xf numFmtId="0" fontId="7" fillId="0" borderId="0" xfId="0" applyFont="1"/>
    <xf numFmtId="2" fontId="8" fillId="0" borderId="11" xfId="0" applyNumberFormat="1" applyFont="1" applyBorder="1" applyAlignment="1">
      <alignment horizontal="center"/>
    </xf>
    <xf numFmtId="0" fontId="0" fillId="0" borderId="12" xfId="0" applyBorder="1"/>
    <xf numFmtId="0" fontId="1" fillId="5" borderId="0" xfId="0" applyFont="1" applyFill="1" applyAlignment="1">
      <alignment horizontal="right"/>
    </xf>
    <xf numFmtId="0" fontId="6" fillId="6" borderId="9" xfId="0" applyFont="1" applyFill="1" applyBorder="1"/>
    <xf numFmtId="0" fontId="7" fillId="6" borderId="10" xfId="0" applyFont="1" applyFill="1" applyBorder="1"/>
    <xf numFmtId="0" fontId="6" fillId="6" borderId="10" xfId="0" applyFont="1" applyFill="1" applyBorder="1"/>
    <xf numFmtId="0" fontId="1" fillId="6" borderId="0" xfId="0" applyFont="1" applyFill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1" fillId="0" borderId="14" xfId="0" applyFont="1" applyBorder="1"/>
    <xf numFmtId="0" fontId="1" fillId="0" borderId="7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 vertical="top" wrapText="1" indent="3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C45F-96F1-4FF4-B3E4-FBF62E01D824}">
  <dimension ref="A1:AH95"/>
  <sheetViews>
    <sheetView tabSelected="1" topLeftCell="B63" zoomScale="75" zoomScaleNormal="75" workbookViewId="0">
      <selection activeCell="AF19" sqref="AF19"/>
    </sheetView>
  </sheetViews>
  <sheetFormatPr defaultRowHeight="14.5" x14ac:dyDescent="0.35"/>
  <cols>
    <col min="1" max="1" width="11.54296875" style="1" customWidth="1"/>
    <col min="2" max="2" width="29.26953125" style="1" customWidth="1"/>
    <col min="3" max="3" width="13.6328125" style="1" customWidth="1"/>
    <col min="4" max="4" width="34.26953125" style="1" customWidth="1"/>
    <col min="5" max="5" width="20.54296875" style="1" bestFit="1" customWidth="1"/>
    <col min="6" max="6" width="14.08984375" style="1" customWidth="1"/>
    <col min="7" max="7" width="15.1796875" style="1" bestFit="1" customWidth="1"/>
    <col min="8" max="8" width="19.36328125" style="1" bestFit="1" customWidth="1"/>
    <col min="9" max="9" width="29.08984375" style="1" bestFit="1" customWidth="1"/>
    <col min="10" max="10" width="17.54296875" style="1" customWidth="1"/>
    <col min="11" max="11" width="20.90625" style="1" customWidth="1"/>
    <col min="12" max="16" width="8.7265625" style="1"/>
    <col min="17" max="23" width="8.81640625" style="1" bestFit="1" customWidth="1"/>
    <col min="24" max="24" width="31.453125" style="1" bestFit="1" customWidth="1"/>
    <col min="25" max="25" width="12.453125" style="1" customWidth="1"/>
    <col min="26" max="26" width="17.90625" style="1" bestFit="1" customWidth="1"/>
    <col min="27" max="27" width="20.54296875" style="1" bestFit="1" customWidth="1"/>
    <col min="28" max="28" width="10.54296875" style="1" bestFit="1" customWidth="1"/>
    <col min="29" max="29" width="25" style="1" bestFit="1" customWidth="1"/>
    <col min="30" max="30" width="19.36328125" style="1" bestFit="1" customWidth="1"/>
    <col min="31" max="31" width="36.90625" style="1" customWidth="1"/>
    <col min="32" max="32" width="19.7265625" style="1" bestFit="1" customWidth="1"/>
    <col min="33" max="33" width="23.453125" style="1" bestFit="1" customWidth="1"/>
    <col min="34" max="16384" width="8.7265625" style="1"/>
  </cols>
  <sheetData>
    <row r="1" spans="1:14" ht="24.5" customHeight="1" x14ac:dyDescent="0.45">
      <c r="A1" s="43" t="s">
        <v>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3" spans="1:14" x14ac:dyDescent="0.35">
      <c r="E3" s="42" t="s">
        <v>0</v>
      </c>
      <c r="F3" s="37"/>
      <c r="G3" s="37"/>
      <c r="H3" s="37"/>
      <c r="I3" s="37"/>
      <c r="J3" s="37"/>
    </row>
    <row r="4" spans="1:14" x14ac:dyDescent="0.35">
      <c r="E4" s="37"/>
      <c r="F4" s="37"/>
      <c r="G4" s="37"/>
      <c r="H4" s="37"/>
      <c r="I4" s="37"/>
      <c r="J4" s="37"/>
    </row>
    <row r="6" spans="1:14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4.5" customHeight="1" x14ac:dyDescent="0.35">
      <c r="A7" s="3" t="s">
        <v>2</v>
      </c>
      <c r="B7" s="44" t="s">
        <v>90</v>
      </c>
      <c r="C7" s="44"/>
      <c r="D7" s="44"/>
      <c r="E7" s="44"/>
      <c r="H7" s="3" t="s">
        <v>48</v>
      </c>
      <c r="I7" s="1" t="s">
        <v>49</v>
      </c>
      <c r="J7" s="1" t="s">
        <v>108</v>
      </c>
    </row>
    <row r="8" spans="1:14" x14ac:dyDescent="0.35">
      <c r="A8" s="3"/>
      <c r="B8" s="44"/>
      <c r="C8" s="44"/>
      <c r="D8" s="44"/>
      <c r="E8" s="44"/>
      <c r="J8" s="1" t="s">
        <v>109</v>
      </c>
    </row>
    <row r="9" spans="1:14" x14ac:dyDescent="0.35">
      <c r="A9" s="3" t="s">
        <v>3</v>
      </c>
      <c r="B9" s="40">
        <v>2062</v>
      </c>
      <c r="C9" s="40"/>
      <c r="D9" s="40"/>
      <c r="E9" s="40"/>
      <c r="H9" s="3" t="s">
        <v>50</v>
      </c>
      <c r="I9" s="1" t="s">
        <v>59</v>
      </c>
    </row>
    <row r="10" spans="1:14" x14ac:dyDescent="0.35">
      <c r="A10" s="3" t="s">
        <v>4</v>
      </c>
      <c r="B10" s="40" t="s">
        <v>58</v>
      </c>
      <c r="C10" s="40"/>
      <c r="D10" s="40"/>
      <c r="E10" s="40"/>
    </row>
    <row r="11" spans="1:14" x14ac:dyDescent="0.35">
      <c r="B11" s="40"/>
      <c r="C11" s="40"/>
      <c r="D11" s="40"/>
      <c r="E11" s="40"/>
    </row>
    <row r="14" spans="1:14" x14ac:dyDescent="0.35">
      <c r="A14" s="41" t="s">
        <v>67</v>
      </c>
      <c r="B14" s="41"/>
      <c r="C14" s="4" t="s">
        <v>60</v>
      </c>
      <c r="D14" s="4"/>
      <c r="E14" s="4" t="s">
        <v>61</v>
      </c>
      <c r="F14" s="4" t="s">
        <v>62</v>
      </c>
      <c r="G14" s="4" t="s">
        <v>63</v>
      </c>
      <c r="H14" s="31" t="s">
        <v>64</v>
      </c>
      <c r="I14" s="4" t="s">
        <v>65</v>
      </c>
      <c r="J14" s="4" t="s">
        <v>66</v>
      </c>
    </row>
    <row r="15" spans="1:14" x14ac:dyDescent="0.35">
      <c r="H15" s="9" t="s">
        <v>64</v>
      </c>
      <c r="I15" s="1" t="s">
        <v>91</v>
      </c>
    </row>
    <row r="16" spans="1:14" x14ac:dyDescent="0.35">
      <c r="B16" s="37" t="s">
        <v>107</v>
      </c>
      <c r="C16" s="37"/>
      <c r="D16" s="37"/>
      <c r="E16" s="37"/>
      <c r="F16" s="37"/>
      <c r="G16" s="37"/>
      <c r="H16" s="37"/>
      <c r="I16" s="37"/>
      <c r="J16" s="37"/>
      <c r="K16" s="37"/>
    </row>
    <row r="18" spans="2:31" x14ac:dyDescent="0.35">
      <c r="B18" s="38" t="s">
        <v>92</v>
      </c>
      <c r="C18" s="38"/>
      <c r="D18" s="38"/>
      <c r="E18" s="38"/>
      <c r="X18" s="38" t="s">
        <v>111</v>
      </c>
      <c r="Y18" s="38"/>
      <c r="Z18" s="38"/>
      <c r="AA18" s="38"/>
      <c r="AB18" s="38"/>
    </row>
    <row r="20" spans="2:31" x14ac:dyDescent="0.35">
      <c r="B20" s="6" t="s">
        <v>9</v>
      </c>
      <c r="C20" s="6" t="s">
        <v>5</v>
      </c>
      <c r="D20" s="6" t="s">
        <v>6</v>
      </c>
      <c r="E20" s="6" t="s">
        <v>7</v>
      </c>
      <c r="F20" s="6" t="s">
        <v>8</v>
      </c>
      <c r="G20" s="6" t="s">
        <v>11</v>
      </c>
      <c r="H20" s="6" t="s">
        <v>12</v>
      </c>
      <c r="X20" s="6" t="s">
        <v>9</v>
      </c>
      <c r="Y20" s="6" t="s">
        <v>5</v>
      </c>
      <c r="Z20" s="6" t="s">
        <v>6</v>
      </c>
      <c r="AA20" s="6" t="s">
        <v>7</v>
      </c>
      <c r="AB20" s="6" t="s">
        <v>8</v>
      </c>
      <c r="AC20" s="6" t="s">
        <v>11</v>
      </c>
      <c r="AD20" s="6" t="s">
        <v>12</v>
      </c>
    </row>
    <row r="21" spans="2:31" x14ac:dyDescent="0.35">
      <c r="B21" s="6"/>
      <c r="C21" s="6"/>
      <c r="D21" s="6"/>
      <c r="E21" s="6"/>
      <c r="F21" s="6"/>
      <c r="G21" s="6" t="s">
        <v>10</v>
      </c>
      <c r="H21" s="6" t="s">
        <v>13</v>
      </c>
      <c r="X21" s="6"/>
      <c r="Y21" s="6"/>
      <c r="Z21" s="6"/>
      <c r="AA21" s="6"/>
      <c r="AB21" s="6"/>
      <c r="AC21" s="6" t="s">
        <v>10</v>
      </c>
      <c r="AD21" s="6" t="s">
        <v>13</v>
      </c>
    </row>
    <row r="22" spans="2:31" x14ac:dyDescent="0.35">
      <c r="B22" s="11">
        <v>1</v>
      </c>
      <c r="C22" s="11">
        <v>30.08</v>
      </c>
      <c r="D22" s="11"/>
      <c r="E22" s="11">
        <f>C22-$D$24</f>
        <v>-5.0000000000004263E-2</v>
      </c>
      <c r="F22" s="11">
        <f>E22*E22</f>
        <v>2.5000000000004264E-3</v>
      </c>
      <c r="G22" s="11"/>
      <c r="H22" s="11"/>
      <c r="X22" s="11">
        <v>1</v>
      </c>
      <c r="Y22" s="11">
        <v>5.0419999999999998</v>
      </c>
      <c r="Z22" s="11"/>
      <c r="AA22" s="11">
        <f>Y22-$Z$24</f>
        <v>-6.2199999999999811E-2</v>
      </c>
      <c r="AB22" s="11">
        <f>AA22*AA22</f>
        <v>3.8688399999999763E-3</v>
      </c>
      <c r="AC22" s="11"/>
      <c r="AD22" s="11"/>
    </row>
    <row r="23" spans="2:31" x14ac:dyDescent="0.35">
      <c r="B23" s="11">
        <v>2</v>
      </c>
      <c r="C23" s="11">
        <v>30.23</v>
      </c>
      <c r="D23" s="11"/>
      <c r="E23" s="11">
        <f t="shared" ref="E23:E26" si="0">C23-$D$24</f>
        <v>9.9999999999997868E-2</v>
      </c>
      <c r="F23" s="11">
        <f t="shared" ref="F23:F26" si="1">E23*E23</f>
        <v>9.9999999999995735E-3</v>
      </c>
      <c r="G23" s="11"/>
      <c r="H23" s="11"/>
      <c r="X23" s="11">
        <v>2</v>
      </c>
      <c r="Y23" s="11">
        <v>5.117</v>
      </c>
      <c r="Z23" s="11"/>
      <c r="AA23" s="11">
        <f t="shared" ref="AA23:AA26" si="2">Y23-$Z$24</f>
        <v>1.2800000000000367E-2</v>
      </c>
      <c r="AB23" s="11">
        <f t="shared" ref="AB23:AB26" si="3">AA23*AA23</f>
        <v>1.6384000000000938E-4</v>
      </c>
      <c r="AC23" s="11"/>
      <c r="AD23" s="11"/>
    </row>
    <row r="24" spans="2:31" x14ac:dyDescent="0.35">
      <c r="B24" s="11">
        <v>3</v>
      </c>
      <c r="C24" s="11">
        <v>30.02</v>
      </c>
      <c r="D24" s="14">
        <f>AVERAGE(C22:C26)</f>
        <v>30.130000000000003</v>
      </c>
      <c r="E24" s="11">
        <f t="shared" si="0"/>
        <v>-0.11000000000000298</v>
      </c>
      <c r="F24" s="11">
        <f t="shared" si="1"/>
        <v>1.2100000000000657E-2</v>
      </c>
      <c r="G24" s="14">
        <f>SQRT(F27/4)</f>
        <v>8.1547532151501109E-2</v>
      </c>
      <c r="H24" s="14">
        <f>G24/SQRT(5)</f>
        <v>3.6469165057621232E-2</v>
      </c>
      <c r="I24" s="1" t="s">
        <v>22</v>
      </c>
      <c r="X24" s="11">
        <v>3</v>
      </c>
      <c r="Y24" s="11">
        <v>5.1589999999999998</v>
      </c>
      <c r="Z24" s="14">
        <f>AVERAGE(Y22:Y26)</f>
        <v>5.1041999999999996</v>
      </c>
      <c r="AA24" s="11">
        <f t="shared" si="2"/>
        <v>5.4800000000000182E-2</v>
      </c>
      <c r="AB24" s="11">
        <f t="shared" si="3"/>
        <v>3.0030400000000197E-3</v>
      </c>
      <c r="AC24" s="14">
        <f>SQRT(AB27/4)</f>
        <v>4.2055915160652504E-2</v>
      </c>
      <c r="AD24" s="14">
        <f>AC24/SQRT(5)</f>
        <v>1.8807977031036597E-2</v>
      </c>
      <c r="AE24" s="1" t="s">
        <v>22</v>
      </c>
    </row>
    <row r="25" spans="2:31" x14ac:dyDescent="0.35">
      <c r="B25" s="11">
        <v>4</v>
      </c>
      <c r="C25" s="11">
        <v>30.17</v>
      </c>
      <c r="D25" s="11"/>
      <c r="E25" s="11">
        <f t="shared" si="0"/>
        <v>3.9999999999999147E-2</v>
      </c>
      <c r="F25" s="11">
        <f t="shared" si="1"/>
        <v>1.5999999999999318E-3</v>
      </c>
      <c r="G25" s="11"/>
      <c r="H25" s="11"/>
      <c r="X25" s="11">
        <v>4</v>
      </c>
      <c r="Y25" s="11">
        <v>5.0979999999999999</v>
      </c>
      <c r="Z25" s="11"/>
      <c r="AA25" s="11">
        <f t="shared" si="2"/>
        <v>-6.1999999999997613E-3</v>
      </c>
      <c r="AB25" s="11">
        <f t="shared" si="3"/>
        <v>3.8439999999997037E-5</v>
      </c>
      <c r="AC25" s="11"/>
      <c r="AD25" s="11"/>
    </row>
    <row r="26" spans="2:31" x14ac:dyDescent="0.35">
      <c r="B26" s="11">
        <v>5</v>
      </c>
      <c r="C26" s="11">
        <v>30.15</v>
      </c>
      <c r="D26" s="11"/>
      <c r="E26" s="11">
        <f t="shared" si="0"/>
        <v>1.9999999999996021E-2</v>
      </c>
      <c r="F26" s="11">
        <f t="shared" si="1"/>
        <v>3.9999999999984086E-4</v>
      </c>
      <c r="G26" s="11"/>
      <c r="H26" s="11"/>
      <c r="X26" s="11">
        <v>5</v>
      </c>
      <c r="Y26" s="11">
        <v>5.1050000000000004</v>
      </c>
      <c r="Z26" s="11"/>
      <c r="AA26" s="11">
        <f t="shared" si="2"/>
        <v>8.0000000000080007E-4</v>
      </c>
      <c r="AB26" s="11">
        <f t="shared" si="3"/>
        <v>6.4000000000128009E-7</v>
      </c>
      <c r="AC26" s="11"/>
      <c r="AD26" s="11"/>
    </row>
    <row r="27" spans="2:31" ht="20" customHeight="1" x14ac:dyDescent="0.35">
      <c r="E27" s="1" t="s">
        <v>14</v>
      </c>
      <c r="F27" s="1">
        <f>SUM(F22:F26)</f>
        <v>2.6600000000000429E-2</v>
      </c>
      <c r="AA27" s="1" t="s">
        <v>14</v>
      </c>
      <c r="AB27" s="1">
        <f>SUM(AB22:AB26)</f>
        <v>7.0748000000000043E-3</v>
      </c>
    </row>
    <row r="29" spans="2:31" x14ac:dyDescent="0.35">
      <c r="B29" s="38" t="s">
        <v>68</v>
      </c>
      <c r="C29" s="38"/>
      <c r="D29" s="38"/>
      <c r="E29" s="38"/>
      <c r="X29" s="38" t="s">
        <v>112</v>
      </c>
      <c r="Y29" s="38"/>
      <c r="Z29" s="38"/>
      <c r="AA29" s="38"/>
    </row>
    <row r="30" spans="2:31" ht="15" thickBot="1" x14ac:dyDescent="0.4"/>
    <row r="31" spans="2:31" x14ac:dyDescent="0.35">
      <c r="B31" s="7" t="s">
        <v>15</v>
      </c>
      <c r="C31" s="15" t="s">
        <v>16</v>
      </c>
      <c r="D31" s="15" t="s">
        <v>17</v>
      </c>
      <c r="E31" s="15" t="s">
        <v>18</v>
      </c>
      <c r="F31" s="15" t="s">
        <v>19</v>
      </c>
      <c r="G31" s="15" t="s">
        <v>20</v>
      </c>
      <c r="H31" s="16" t="s">
        <v>21</v>
      </c>
      <c r="X31" s="11" t="s">
        <v>15</v>
      </c>
      <c r="Y31" s="6" t="s">
        <v>16</v>
      </c>
      <c r="Z31" s="6" t="s">
        <v>17</v>
      </c>
      <c r="AA31" s="6" t="s">
        <v>18</v>
      </c>
      <c r="AB31" s="6" t="s">
        <v>19</v>
      </c>
      <c r="AC31" s="6" t="s">
        <v>20</v>
      </c>
      <c r="AD31" s="6" t="s">
        <v>21</v>
      </c>
    </row>
    <row r="32" spans="2:31" ht="15" thickBot="1" x14ac:dyDescent="0.4">
      <c r="B32" s="5" t="s">
        <v>69</v>
      </c>
      <c r="C32" s="17">
        <v>8.0000000000000002E-3</v>
      </c>
      <c r="D32" s="17" t="s">
        <v>22</v>
      </c>
      <c r="E32" s="17">
        <v>2</v>
      </c>
      <c r="F32" s="17">
        <v>0.01</v>
      </c>
      <c r="G32" s="17" t="s">
        <v>22</v>
      </c>
      <c r="H32" s="18">
        <v>0.02</v>
      </c>
      <c r="X32" s="10" t="s">
        <v>94</v>
      </c>
      <c r="Y32" s="6">
        <v>1.4E-3</v>
      </c>
      <c r="Z32" s="6" t="s">
        <v>22</v>
      </c>
      <c r="AA32" s="6">
        <v>2</v>
      </c>
      <c r="AB32" s="6">
        <v>1E-3</v>
      </c>
      <c r="AC32" s="6" t="s">
        <v>22</v>
      </c>
      <c r="AD32" s="6">
        <v>2E-3</v>
      </c>
    </row>
    <row r="35" spans="2:34" ht="29.5" customHeight="1" x14ac:dyDescent="0.35">
      <c r="B35" s="8" t="s">
        <v>23</v>
      </c>
      <c r="C35" s="8" t="s">
        <v>24</v>
      </c>
      <c r="D35" s="8" t="s">
        <v>25</v>
      </c>
      <c r="E35" s="8" t="s">
        <v>26</v>
      </c>
      <c r="F35" s="8" t="s">
        <v>27</v>
      </c>
      <c r="G35" s="8" t="s">
        <v>28</v>
      </c>
      <c r="H35" s="8" t="s">
        <v>29</v>
      </c>
      <c r="I35" s="8" t="s">
        <v>30</v>
      </c>
      <c r="J35" s="8" t="s">
        <v>38</v>
      </c>
      <c r="K35" s="8" t="s">
        <v>31</v>
      </c>
      <c r="X35" s="8" t="s">
        <v>23</v>
      </c>
      <c r="Y35" s="8" t="s">
        <v>24</v>
      </c>
      <c r="Z35" s="8" t="s">
        <v>25</v>
      </c>
      <c r="AA35" s="8" t="s">
        <v>26</v>
      </c>
      <c r="AB35" s="8" t="s">
        <v>27</v>
      </c>
      <c r="AC35" s="8" t="s">
        <v>28</v>
      </c>
      <c r="AD35" s="8" t="s">
        <v>29</v>
      </c>
      <c r="AE35" s="8" t="s">
        <v>30</v>
      </c>
      <c r="AF35" s="8" t="s">
        <v>38</v>
      </c>
      <c r="AG35" s="8" t="s">
        <v>31</v>
      </c>
    </row>
    <row r="36" spans="2:34" ht="24.5" customHeight="1" x14ac:dyDescent="0.35">
      <c r="B36" s="6" t="s">
        <v>93</v>
      </c>
      <c r="C36" s="11">
        <f>G24</f>
        <v>8.1547532151501109E-2</v>
      </c>
      <c r="D36" s="6" t="s">
        <v>32</v>
      </c>
      <c r="E36" s="11" t="s">
        <v>34</v>
      </c>
      <c r="F36" s="12" t="s">
        <v>36</v>
      </c>
      <c r="G36" s="11">
        <f>SQRT(5)</f>
        <v>2.2360679774997898</v>
      </c>
      <c r="H36" s="11">
        <f>C36/G36</f>
        <v>3.6469165057621232E-2</v>
      </c>
      <c r="I36" s="11">
        <f>H36^2</f>
        <v>1.3300000000000215E-3</v>
      </c>
      <c r="J36" s="11">
        <v>4</v>
      </c>
      <c r="K36" s="11">
        <f>E41</f>
        <v>-0.61137699198613626</v>
      </c>
      <c r="L36" s="1" t="s">
        <v>22</v>
      </c>
      <c r="X36" s="6" t="s">
        <v>95</v>
      </c>
      <c r="Y36" s="11">
        <f>AC24</f>
        <v>4.2055915160652504E-2</v>
      </c>
      <c r="Z36" s="6" t="s">
        <v>32</v>
      </c>
      <c r="AA36" s="11" t="s">
        <v>34</v>
      </c>
      <c r="AB36" s="12" t="s">
        <v>36</v>
      </c>
      <c r="AC36" s="11">
        <f>SQRT(5)</f>
        <v>2.2360679774997898</v>
      </c>
      <c r="AD36" s="11">
        <f>Y36/AC36</f>
        <v>1.8807977031036597E-2</v>
      </c>
      <c r="AE36" s="11">
        <f>AD36^2</f>
        <v>3.5374000000000023E-4</v>
      </c>
      <c r="AF36" s="11">
        <v>4</v>
      </c>
      <c r="AG36" s="11">
        <f>AA41</f>
        <v>-1.861216116945646</v>
      </c>
      <c r="AH36" s="1" t="s">
        <v>22</v>
      </c>
    </row>
    <row r="37" spans="2:34" ht="22.5" customHeight="1" x14ac:dyDescent="0.35">
      <c r="B37" s="11" t="s">
        <v>70</v>
      </c>
      <c r="C37" s="11">
        <f>C32</f>
        <v>8.0000000000000002E-3</v>
      </c>
      <c r="D37" s="6" t="s">
        <v>33</v>
      </c>
      <c r="E37" s="11" t="s">
        <v>34</v>
      </c>
      <c r="F37" s="12" t="s">
        <v>36</v>
      </c>
      <c r="G37" s="11">
        <f>SQRT(5)</f>
        <v>2.2360679774997898</v>
      </c>
      <c r="H37" s="11">
        <f>C37/G37</f>
        <v>3.5777087639996632E-3</v>
      </c>
      <c r="I37" s="11">
        <f t="shared" ref="I37:I39" si="4">H37^2</f>
        <v>1.2799999999999998E-5</v>
      </c>
      <c r="J37" s="12" t="s">
        <v>39</v>
      </c>
      <c r="K37" s="11">
        <v>1</v>
      </c>
      <c r="L37" s="1" t="s">
        <v>22</v>
      </c>
      <c r="X37" s="11" t="s">
        <v>96</v>
      </c>
      <c r="Y37" s="11">
        <f>Y32</f>
        <v>1.4E-3</v>
      </c>
      <c r="Z37" s="6" t="s">
        <v>33</v>
      </c>
      <c r="AA37" s="11" t="s">
        <v>34</v>
      </c>
      <c r="AB37" s="12" t="s">
        <v>36</v>
      </c>
      <c r="AC37" s="11">
        <f>SQRT(5)</f>
        <v>2.2360679774997898</v>
      </c>
      <c r="AD37" s="11">
        <f>Y37/AC37</f>
        <v>6.2609903369994103E-4</v>
      </c>
      <c r="AE37" s="11">
        <f t="shared" ref="AE37:AE39" si="5">AD37^2</f>
        <v>3.9199999999999991E-7</v>
      </c>
      <c r="AF37" s="12" t="s">
        <v>39</v>
      </c>
      <c r="AG37" s="11">
        <v>1</v>
      </c>
      <c r="AH37" s="1" t="s">
        <v>22</v>
      </c>
    </row>
    <row r="38" spans="2:34" ht="20.5" customHeight="1" x14ac:dyDescent="0.35">
      <c r="B38" s="11" t="s">
        <v>71</v>
      </c>
      <c r="C38" s="11">
        <f>F32</f>
        <v>0.01</v>
      </c>
      <c r="D38" s="6" t="s">
        <v>33</v>
      </c>
      <c r="E38" s="11" t="s">
        <v>35</v>
      </c>
      <c r="F38" s="12" t="s">
        <v>37</v>
      </c>
      <c r="G38" s="11">
        <f>SQRT(3)</f>
        <v>1.7320508075688772</v>
      </c>
      <c r="H38" s="11">
        <f>C38/G38</f>
        <v>5.773502691896258E-3</v>
      </c>
      <c r="I38" s="11">
        <f t="shared" si="4"/>
        <v>3.3333333333333335E-5</v>
      </c>
      <c r="J38" s="12" t="s">
        <v>39</v>
      </c>
      <c r="K38" s="11">
        <v>1</v>
      </c>
      <c r="L38" t="s">
        <v>22</v>
      </c>
      <c r="X38" s="11" t="s">
        <v>97</v>
      </c>
      <c r="Y38" s="11">
        <f>AB32</f>
        <v>1E-3</v>
      </c>
      <c r="Z38" s="6" t="s">
        <v>33</v>
      </c>
      <c r="AA38" s="11" t="s">
        <v>35</v>
      </c>
      <c r="AB38" s="12" t="s">
        <v>37</v>
      </c>
      <c r="AC38" s="11">
        <f>SQRT(3)</f>
        <v>1.7320508075688772</v>
      </c>
      <c r="AD38" s="11">
        <f>Y38/AC38</f>
        <v>5.773502691896258E-4</v>
      </c>
      <c r="AE38" s="11">
        <f t="shared" si="5"/>
        <v>3.3333333333333335E-7</v>
      </c>
      <c r="AF38" s="12" t="s">
        <v>39</v>
      </c>
      <c r="AG38" s="11">
        <v>1</v>
      </c>
      <c r="AH38" t="s">
        <v>22</v>
      </c>
    </row>
    <row r="39" spans="2:34" x14ac:dyDescent="0.35">
      <c r="B39" s="32" t="s">
        <v>72</v>
      </c>
      <c r="C39" s="10">
        <v>0.02</v>
      </c>
      <c r="D39" s="33" t="s">
        <v>33</v>
      </c>
      <c r="E39" s="11" t="s">
        <v>35</v>
      </c>
      <c r="F39" s="12" t="s">
        <v>37</v>
      </c>
      <c r="G39" s="11">
        <f>SQRT(3)</f>
        <v>1.7320508075688772</v>
      </c>
      <c r="H39" s="34">
        <f>C39/G39</f>
        <v>1.1547005383792516E-2</v>
      </c>
      <c r="I39" s="11">
        <f t="shared" si="4"/>
        <v>1.3333333333333334E-4</v>
      </c>
      <c r="J39" s="12" t="s">
        <v>39</v>
      </c>
      <c r="K39" s="10">
        <v>1</v>
      </c>
      <c r="X39" s="6" t="s">
        <v>98</v>
      </c>
      <c r="Y39" s="10">
        <f>AD32</f>
        <v>2E-3</v>
      </c>
      <c r="Z39" s="6" t="s">
        <v>33</v>
      </c>
      <c r="AA39" s="11" t="s">
        <v>35</v>
      </c>
      <c r="AB39" s="12" t="s">
        <v>37</v>
      </c>
      <c r="AC39" s="11">
        <f>SQRT(3)</f>
        <v>1.7320508075688772</v>
      </c>
      <c r="AD39" s="10">
        <f>Y39/AC39</f>
        <v>1.1547005383792516E-3</v>
      </c>
      <c r="AE39" s="11">
        <f t="shared" si="5"/>
        <v>1.3333333333333334E-6</v>
      </c>
      <c r="AF39" s="12" t="s">
        <v>39</v>
      </c>
      <c r="AG39" s="10">
        <v>1</v>
      </c>
    </row>
    <row r="40" spans="2:34" x14ac:dyDescent="0.35">
      <c r="B40" s="9" t="s">
        <v>74</v>
      </c>
      <c r="C40" s="1" t="s">
        <v>99</v>
      </c>
      <c r="G40" s="1" t="s">
        <v>40</v>
      </c>
      <c r="I40" s="21" t="s">
        <v>73</v>
      </c>
      <c r="X40" s="9" t="s">
        <v>74</v>
      </c>
      <c r="Y40" s="1" t="s">
        <v>99</v>
      </c>
      <c r="AC40" s="1" t="s">
        <v>40</v>
      </c>
      <c r="AE40" s="21" t="s">
        <v>73</v>
      </c>
    </row>
    <row r="41" spans="2:34" x14ac:dyDescent="0.35">
      <c r="B41" s="9" t="s">
        <v>100</v>
      </c>
      <c r="C41" s="1">
        <f>-D49/((D24^2)*Z24)</f>
        <v>-16.764216867048134</v>
      </c>
      <c r="D41" s="1" t="s">
        <v>103</v>
      </c>
      <c r="E41" s="1">
        <f>H36*C41</f>
        <v>-0.61137699198613626</v>
      </c>
      <c r="I41" s="13">
        <f>SQRT((I36)+(I37)+(I38)+(I39))</f>
        <v>3.8851855382551405E-2</v>
      </c>
      <c r="J41" t="s">
        <v>22</v>
      </c>
      <c r="X41" s="9" t="s">
        <v>101</v>
      </c>
      <c r="Y41" s="1">
        <f>-D49/((Z24^2)*D24)</f>
        <v>-98.958868031064668</v>
      </c>
      <c r="Z41" s="1" t="s">
        <v>102</v>
      </c>
      <c r="AA41" s="1">
        <f>AD36*Y41</f>
        <v>-1.861216116945646</v>
      </c>
      <c r="AE41" s="13">
        <f>SQRT((AE36)+(AE37)+(AE38)+(AE39))</f>
        <v>1.8862626186898445E-2</v>
      </c>
      <c r="AF41" t="s">
        <v>22</v>
      </c>
    </row>
    <row r="43" spans="2:34" x14ac:dyDescent="0.35">
      <c r="B43" s="38" t="s">
        <v>75</v>
      </c>
      <c r="C43" s="38"/>
      <c r="D43" s="38"/>
      <c r="E43" s="38"/>
    </row>
    <row r="45" spans="2:34" x14ac:dyDescent="0.35">
      <c r="B45" s="6" t="s">
        <v>9</v>
      </c>
      <c r="C45" s="6" t="s">
        <v>5</v>
      </c>
      <c r="D45" s="6" t="s">
        <v>6</v>
      </c>
      <c r="E45" s="6" t="s">
        <v>7</v>
      </c>
      <c r="F45" s="6" t="s">
        <v>8</v>
      </c>
      <c r="G45" s="6" t="s">
        <v>11</v>
      </c>
      <c r="H45" s="6" t="s">
        <v>12</v>
      </c>
    </row>
    <row r="46" spans="2:34" x14ac:dyDescent="0.35">
      <c r="B46" s="6"/>
      <c r="C46" s="6"/>
      <c r="D46" s="6"/>
      <c r="E46" s="6"/>
      <c r="F46" s="6"/>
      <c r="G46" s="6" t="s">
        <v>10</v>
      </c>
      <c r="H46" s="6" t="s">
        <v>13</v>
      </c>
    </row>
    <row r="47" spans="2:34" x14ac:dyDescent="0.35">
      <c r="B47" s="11">
        <v>1</v>
      </c>
      <c r="C47">
        <v>76260</v>
      </c>
      <c r="D47" s="11"/>
      <c r="E47" s="11">
        <f>C47-$D$49</f>
        <v>-1420</v>
      </c>
      <c r="F47" s="11">
        <f>E47*E47</f>
        <v>2016400</v>
      </c>
      <c r="G47" s="11"/>
      <c r="H47" s="10"/>
    </row>
    <row r="48" spans="2:34" x14ac:dyDescent="0.35">
      <c r="B48" s="11">
        <v>2</v>
      </c>
      <c r="C48">
        <v>78780</v>
      </c>
      <c r="D48" s="11"/>
      <c r="E48" s="11">
        <f t="shared" ref="E48:E51" si="6">C48-$D$49</f>
        <v>1100</v>
      </c>
      <c r="F48" s="11">
        <f t="shared" ref="F48:F51" si="7">E48*E48</f>
        <v>1210000</v>
      </c>
      <c r="G48" s="11"/>
      <c r="H48" s="10"/>
    </row>
    <row r="49" spans="2:9" x14ac:dyDescent="0.35">
      <c r="B49" s="11">
        <v>3</v>
      </c>
      <c r="C49">
        <v>78080</v>
      </c>
      <c r="D49" s="14">
        <f>AVERAGE(C47:C51)</f>
        <v>77680</v>
      </c>
      <c r="E49" s="11">
        <f t="shared" si="6"/>
        <v>400</v>
      </c>
      <c r="F49" s="11">
        <f t="shared" si="7"/>
        <v>160000</v>
      </c>
      <c r="G49" s="14">
        <f>SQRT(F53/4)</f>
        <v>920.65194291871239</v>
      </c>
      <c r="H49" s="14">
        <f>G49/SQRT(5)</f>
        <v>411.72806559669937</v>
      </c>
      <c r="I49" s="1" t="s">
        <v>78</v>
      </c>
    </row>
    <row r="50" spans="2:9" x14ac:dyDescent="0.35">
      <c r="B50" s="11">
        <v>4</v>
      </c>
      <c r="C50">
        <v>77620</v>
      </c>
      <c r="D50" s="11"/>
      <c r="E50" s="11">
        <f t="shared" si="6"/>
        <v>-60</v>
      </c>
      <c r="F50" s="11">
        <f t="shared" si="7"/>
        <v>3600</v>
      </c>
      <c r="G50" s="11"/>
      <c r="H50" s="10"/>
    </row>
    <row r="51" spans="2:9" x14ac:dyDescent="0.35">
      <c r="B51" s="11">
        <v>5</v>
      </c>
      <c r="C51">
        <v>77660</v>
      </c>
      <c r="D51" s="11"/>
      <c r="E51" s="11">
        <f t="shared" si="6"/>
        <v>-20</v>
      </c>
      <c r="F51" s="11">
        <f t="shared" si="7"/>
        <v>400</v>
      </c>
      <c r="G51" s="11"/>
      <c r="H51" s="10"/>
    </row>
    <row r="53" spans="2:9" x14ac:dyDescent="0.35">
      <c r="E53" s="9" t="s">
        <v>14</v>
      </c>
      <c r="F53" s="1">
        <f>SUM(F47:F51)</f>
        <v>3390400</v>
      </c>
      <c r="G53" s="1" t="s">
        <v>77</v>
      </c>
    </row>
    <row r="55" spans="2:9" x14ac:dyDescent="0.35">
      <c r="B55" s="38" t="s">
        <v>110</v>
      </c>
      <c r="C55" s="38"/>
      <c r="D55" s="38"/>
      <c r="E55" s="38"/>
    </row>
    <row r="57" spans="2:9" x14ac:dyDescent="0.35">
      <c r="B57" s="6" t="s">
        <v>15</v>
      </c>
      <c r="C57" s="6" t="s">
        <v>16</v>
      </c>
      <c r="D57" s="6" t="s">
        <v>17</v>
      </c>
      <c r="E57" s="6" t="s">
        <v>18</v>
      </c>
      <c r="F57" s="6" t="s">
        <v>19</v>
      </c>
      <c r="G57" s="6" t="s">
        <v>20</v>
      </c>
      <c r="H57" s="6" t="s">
        <v>21</v>
      </c>
      <c r="I57" s="6" t="s">
        <v>104</v>
      </c>
    </row>
    <row r="58" spans="2:9" x14ac:dyDescent="0.35">
      <c r="B58" s="35" t="s">
        <v>76</v>
      </c>
      <c r="C58" s="6">
        <v>0.372</v>
      </c>
      <c r="D58" s="6" t="s">
        <v>55</v>
      </c>
      <c r="E58" s="6">
        <v>2</v>
      </c>
      <c r="F58" s="6">
        <v>20</v>
      </c>
      <c r="G58" s="6" t="s">
        <v>78</v>
      </c>
      <c r="H58" s="6" t="s">
        <v>105</v>
      </c>
      <c r="I58" s="6">
        <v>400000</v>
      </c>
    </row>
    <row r="59" spans="2:9" x14ac:dyDescent="0.35">
      <c r="B59" s="13" t="s">
        <v>58</v>
      </c>
    </row>
    <row r="60" spans="2:9" x14ac:dyDescent="0.35">
      <c r="B60" s="6" t="s">
        <v>9</v>
      </c>
      <c r="C60" s="6" t="s">
        <v>5</v>
      </c>
      <c r="D60" s="6" t="s">
        <v>6</v>
      </c>
      <c r="E60" s="6" t="s">
        <v>7</v>
      </c>
      <c r="F60" s="6" t="s">
        <v>8</v>
      </c>
      <c r="G60" s="6" t="s">
        <v>11</v>
      </c>
      <c r="H60" s="6" t="s">
        <v>12</v>
      </c>
    </row>
    <row r="61" spans="2:9" x14ac:dyDescent="0.35">
      <c r="B61" s="6"/>
      <c r="C61" s="6"/>
      <c r="D61" s="6"/>
      <c r="E61" s="6"/>
      <c r="F61" s="6"/>
      <c r="G61" s="6" t="s">
        <v>10</v>
      </c>
      <c r="H61" s="6" t="s">
        <v>13</v>
      </c>
    </row>
    <row r="62" spans="2:9" x14ac:dyDescent="0.35">
      <c r="B62" s="11">
        <v>1</v>
      </c>
      <c r="C62" s="11">
        <f>C47/($D$24*$Z$24)</f>
        <v>495.87245676633961</v>
      </c>
      <c r="D62" s="11"/>
      <c r="E62" s="11">
        <f>C62-$D$64</f>
        <v>-9.2333974378206563</v>
      </c>
      <c r="F62" s="11">
        <f>E62*E62</f>
        <v>85.255628244753055</v>
      </c>
      <c r="G62" s="11"/>
      <c r="H62" s="10"/>
    </row>
    <row r="63" spans="2:9" x14ac:dyDescent="0.35">
      <c r="B63" s="11">
        <v>2</v>
      </c>
      <c r="C63" s="11">
        <f t="shared" ref="C63:C66" si="8">C48/($D$24*$Z$24)</f>
        <v>512.25848602219037</v>
      </c>
      <c r="D63" s="11"/>
      <c r="E63" s="11">
        <f t="shared" ref="E63:E66" si="9">C63-$D$64</f>
        <v>7.1526318180301018</v>
      </c>
      <c r="F63" s="11">
        <f t="shared" ref="F63:F66" si="10">E63*E63</f>
        <v>51.160141924296603</v>
      </c>
      <c r="G63" s="11"/>
      <c r="H63" s="10"/>
    </row>
    <row r="64" spans="2:9" x14ac:dyDescent="0.35">
      <c r="B64" s="11">
        <v>3</v>
      </c>
      <c r="C64" s="11">
        <f t="shared" si="8"/>
        <v>507.70681122889846</v>
      </c>
      <c r="D64" s="14">
        <f>AVERAGE(C62:C66)</f>
        <v>505.10585420416027</v>
      </c>
      <c r="E64" s="11">
        <f t="shared" si="9"/>
        <v>2.600957024738193</v>
      </c>
      <c r="F64" s="11">
        <f t="shared" si="10"/>
        <v>6.7649774445349529</v>
      </c>
      <c r="G64" s="14">
        <f>SQRT(F68/4)</f>
        <v>5.9864403456832767</v>
      </c>
      <c r="H64" s="14">
        <f>G64/SQRT(5)</f>
        <v>2.6772175112390291</v>
      </c>
      <c r="I64" s="1" t="s">
        <v>79</v>
      </c>
    </row>
    <row r="65" spans="2:12" x14ac:dyDescent="0.35">
      <c r="B65" s="11">
        <v>4</v>
      </c>
      <c r="C65" s="11">
        <f t="shared" si="8"/>
        <v>504.71571065044952</v>
      </c>
      <c r="D65" s="11"/>
      <c r="E65" s="11">
        <f t="shared" si="9"/>
        <v>-0.39014355371074316</v>
      </c>
      <c r="F65" s="11">
        <f t="shared" si="10"/>
        <v>0.15221199250204753</v>
      </c>
      <c r="G65" s="11"/>
      <c r="H65" s="10"/>
    </row>
    <row r="66" spans="2:12" x14ac:dyDescent="0.35">
      <c r="B66" s="11">
        <v>5</v>
      </c>
      <c r="C66" s="11">
        <f t="shared" si="8"/>
        <v>504.97580635292337</v>
      </c>
      <c r="D66" s="11"/>
      <c r="E66" s="11">
        <f t="shared" si="9"/>
        <v>-0.13004785123689544</v>
      </c>
      <c r="F66" s="11">
        <f t="shared" si="10"/>
        <v>1.6912443611333688E-2</v>
      </c>
      <c r="G66" s="11"/>
      <c r="H66" s="10"/>
    </row>
    <row r="68" spans="2:12" x14ac:dyDescent="0.35">
      <c r="E68" s="9" t="s">
        <v>14</v>
      </c>
      <c r="F68" s="1">
        <f>SUM(F62:F66)</f>
        <v>143.34987204969804</v>
      </c>
      <c r="G68" s="1" t="s">
        <v>80</v>
      </c>
    </row>
    <row r="71" spans="2:12" ht="24" customHeight="1" x14ac:dyDescent="0.35">
      <c r="B71" s="8" t="s">
        <v>23</v>
      </c>
      <c r="C71" s="8" t="s">
        <v>24</v>
      </c>
      <c r="D71" s="8" t="s">
        <v>25</v>
      </c>
      <c r="E71" s="8" t="s">
        <v>26</v>
      </c>
      <c r="F71" s="8" t="s">
        <v>27</v>
      </c>
      <c r="G71" s="8" t="s">
        <v>28</v>
      </c>
      <c r="H71" s="8" t="s">
        <v>29</v>
      </c>
      <c r="I71" s="8" t="s">
        <v>47</v>
      </c>
      <c r="J71" s="8" t="s">
        <v>38</v>
      </c>
      <c r="K71" s="8" t="s">
        <v>31</v>
      </c>
    </row>
    <row r="72" spans="2:12" ht="24" customHeight="1" x14ac:dyDescent="0.35">
      <c r="B72" s="20" t="s">
        <v>81</v>
      </c>
      <c r="C72" s="12">
        <f>G49</f>
        <v>920.65194291871239</v>
      </c>
      <c r="D72" s="12" t="s">
        <v>32</v>
      </c>
      <c r="E72" s="12" t="s">
        <v>34</v>
      </c>
      <c r="F72" s="12" t="s">
        <v>36</v>
      </c>
      <c r="G72" s="12">
        <f>SQRT(5)</f>
        <v>2.2360679774997898</v>
      </c>
      <c r="H72" s="12">
        <f>C72/G72</f>
        <v>411.72806559669937</v>
      </c>
      <c r="I72" s="12">
        <f>H72^2</f>
        <v>169519.99999999997</v>
      </c>
      <c r="J72" s="19">
        <v>4</v>
      </c>
      <c r="K72" s="19">
        <f>E77</f>
        <v>2.6772175112390237</v>
      </c>
      <c r="L72" s="1" t="s">
        <v>78</v>
      </c>
    </row>
    <row r="73" spans="2:12" ht="22.5" customHeight="1" x14ac:dyDescent="0.35">
      <c r="B73" s="11" t="s">
        <v>84</v>
      </c>
      <c r="C73" s="12">
        <f>G64</f>
        <v>5.9864403456832767</v>
      </c>
      <c r="D73" s="12" t="s">
        <v>32</v>
      </c>
      <c r="E73" s="12" t="s">
        <v>34</v>
      </c>
      <c r="F73" s="12" t="s">
        <v>36</v>
      </c>
      <c r="G73" s="12">
        <f>SQRT(5)</f>
        <v>2.2360679774997898</v>
      </c>
      <c r="H73" s="12">
        <f>C73/G73</f>
        <v>2.6772175112390291</v>
      </c>
      <c r="I73" s="12">
        <f>H73^2</f>
        <v>7.1674936024849005</v>
      </c>
      <c r="J73" s="12">
        <v>4</v>
      </c>
      <c r="K73" s="12">
        <v>1</v>
      </c>
      <c r="L73" s="1" t="s">
        <v>79</v>
      </c>
    </row>
    <row r="74" spans="2:12" ht="24" customHeight="1" x14ac:dyDescent="0.35">
      <c r="B74" s="11" t="s">
        <v>82</v>
      </c>
      <c r="C74" s="12">
        <f>(C58*I58)/100</f>
        <v>1488</v>
      </c>
      <c r="D74" s="12" t="s">
        <v>33</v>
      </c>
      <c r="E74" s="12" t="s">
        <v>34</v>
      </c>
      <c r="F74" s="12">
        <v>2</v>
      </c>
      <c r="G74" s="12">
        <f>F74</f>
        <v>2</v>
      </c>
      <c r="H74" s="12">
        <f>C74/G74</f>
        <v>744</v>
      </c>
      <c r="I74" s="12">
        <f t="shared" ref="I74:I76" si="11">H74^2</f>
        <v>553536</v>
      </c>
      <c r="J74" s="12" t="s">
        <v>39</v>
      </c>
      <c r="K74" s="12">
        <v>1</v>
      </c>
      <c r="L74" s="1" t="s">
        <v>78</v>
      </c>
    </row>
    <row r="75" spans="2:12" ht="22" customHeight="1" x14ac:dyDescent="0.35">
      <c r="B75" s="11" t="s">
        <v>83</v>
      </c>
      <c r="C75" s="12">
        <f>F58</f>
        <v>20</v>
      </c>
      <c r="D75" s="12" t="s">
        <v>33</v>
      </c>
      <c r="E75" s="12" t="s">
        <v>35</v>
      </c>
      <c r="F75" s="12" t="s">
        <v>37</v>
      </c>
      <c r="G75" s="12">
        <f>SQRT(3)</f>
        <v>1.7320508075688772</v>
      </c>
      <c r="H75" s="12">
        <f>C75/G75</f>
        <v>11.547005383792516</v>
      </c>
      <c r="I75" s="12">
        <f t="shared" si="11"/>
        <v>133.33333333333337</v>
      </c>
      <c r="J75" s="12" t="s">
        <v>39</v>
      </c>
      <c r="K75" s="12">
        <v>1</v>
      </c>
      <c r="L75" s="1" t="s">
        <v>78</v>
      </c>
    </row>
    <row r="76" spans="2:12" x14ac:dyDescent="0.35">
      <c r="B76" s="11" t="s">
        <v>85</v>
      </c>
      <c r="C76" s="11">
        <f>(1*D49)/100</f>
        <v>776.8</v>
      </c>
      <c r="D76" s="12" t="s">
        <v>33</v>
      </c>
      <c r="E76" s="12" t="s">
        <v>35</v>
      </c>
      <c r="F76" s="12" t="s">
        <v>37</v>
      </c>
      <c r="G76" s="11">
        <f>SQRT(3)</f>
        <v>1.7320508075688772</v>
      </c>
      <c r="H76" s="11">
        <f>C76/G76</f>
        <v>448.4856891065013</v>
      </c>
      <c r="I76" s="11">
        <f t="shared" si="11"/>
        <v>201139.41333333333</v>
      </c>
      <c r="J76" s="12" t="s">
        <v>39</v>
      </c>
      <c r="K76" s="12">
        <v>1</v>
      </c>
    </row>
    <row r="77" spans="2:12" x14ac:dyDescent="0.35">
      <c r="B77" s="1" t="s">
        <v>88</v>
      </c>
      <c r="C77" s="1">
        <f>1/(D24*Z24)</f>
        <v>6.5023925618455233E-3</v>
      </c>
      <c r="D77" s="9" t="s">
        <v>52</v>
      </c>
      <c r="E77" s="1">
        <f>H72*C77</f>
        <v>2.6772175112390237</v>
      </c>
      <c r="I77" s="22" t="s">
        <v>41</v>
      </c>
      <c r="J77" s="39" t="s">
        <v>86</v>
      </c>
      <c r="K77" s="39"/>
    </row>
    <row r="78" spans="2:12" x14ac:dyDescent="0.35">
      <c r="I78"/>
      <c r="J78"/>
      <c r="K78"/>
    </row>
    <row r="79" spans="2:12" x14ac:dyDescent="0.35">
      <c r="B79" s="37" t="s">
        <v>87</v>
      </c>
      <c r="C79" s="37"/>
      <c r="D79" s="37" t="s">
        <v>107</v>
      </c>
      <c r="E79" s="37"/>
      <c r="F79" s="37"/>
      <c r="G79" s="37"/>
      <c r="H79" s="37"/>
      <c r="I79" s="22" t="s">
        <v>42</v>
      </c>
      <c r="J79">
        <f>SQRT(I72+I74+I75+I76)</f>
        <v>961.42017175981221</v>
      </c>
      <c r="K79" t="s">
        <v>78</v>
      </c>
    </row>
    <row r="81" spans="2:11" x14ac:dyDescent="0.35">
      <c r="C81" s="27" t="s">
        <v>51</v>
      </c>
      <c r="D81" s="3">
        <f>(SQRT((J79/D49)^2+(I41/D24)^2+(AE41/Z24)^2))*D64</f>
        <v>6.5566873596526651</v>
      </c>
      <c r="E81" s="3" t="s">
        <v>79</v>
      </c>
      <c r="I81"/>
    </row>
    <row r="82" spans="2:11" x14ac:dyDescent="0.35">
      <c r="J82" s="1">
        <f>SQRT((J79*K72)^2)</f>
        <v>2573.9309194937991</v>
      </c>
    </row>
    <row r="83" spans="2:11" x14ac:dyDescent="0.35">
      <c r="B83" s="1" t="s">
        <v>53</v>
      </c>
      <c r="C83" s="26" t="s">
        <v>54</v>
      </c>
      <c r="D83" s="9" t="s">
        <v>57</v>
      </c>
      <c r="E83" s="1">
        <f>(D81^4)/(((C77*J79)^4/J73)+((C41*I41)^4/J36)+((AA41*AE41)^4/AF36))</f>
        <v>4.8395063793409054</v>
      </c>
    </row>
    <row r="84" spans="2:11" x14ac:dyDescent="0.35">
      <c r="C84" t="s">
        <v>106</v>
      </c>
    </row>
    <row r="88" spans="2:11" x14ac:dyDescent="0.35">
      <c r="B88" s="1" t="s">
        <v>43</v>
      </c>
      <c r="C88" s="23">
        <v>0.95</v>
      </c>
      <c r="D88" s="1" t="s">
        <v>44</v>
      </c>
      <c r="E88" s="1">
        <v>2.5710000000000002</v>
      </c>
      <c r="G88" s="38" t="s">
        <v>89</v>
      </c>
      <c r="H88" s="38"/>
    </row>
    <row r="89" spans="2:11" ht="15" thickBot="1" x14ac:dyDescent="0.4"/>
    <row r="90" spans="2:11" ht="17.5" thickBot="1" x14ac:dyDescent="0.45">
      <c r="B90" s="28" t="s">
        <v>45</v>
      </c>
      <c r="C90" s="29"/>
      <c r="D90" s="30" t="s">
        <v>46</v>
      </c>
      <c r="E90" s="29"/>
      <c r="F90" s="29"/>
      <c r="G90" s="29"/>
      <c r="H90" s="29">
        <f>D81*E88</f>
        <v>16.857243201667004</v>
      </c>
      <c r="I90" s="29" t="s">
        <v>79</v>
      </c>
      <c r="J90" s="25"/>
      <c r="K90" s="24"/>
    </row>
    <row r="93" spans="2:11" x14ac:dyDescent="0.35">
      <c r="B93" s="36" t="str">
        <f>"The value of  TENSILE STRENGTH  is"&amp;D64&amp;" ± "&amp;H90&amp;"N/mm^2 with coverage factor k= "&amp;E88</f>
        <v>The value of  TENSILE STRENGTH  is505.10585420416 ± 16.857243201667N/mm^2 with coverage factor k= 2.571</v>
      </c>
      <c r="C93" s="37"/>
      <c r="D93" s="37"/>
      <c r="E93" s="37"/>
    </row>
    <row r="94" spans="2:11" x14ac:dyDescent="0.35">
      <c r="B94" s="36" t="str">
        <f>"for confidence level of "&amp;95%</f>
        <v>for confidence level of 0.95</v>
      </c>
      <c r="C94" s="37"/>
      <c r="D94" s="37"/>
      <c r="E94" s="37"/>
    </row>
    <row r="95" spans="2:11" x14ac:dyDescent="0.35">
      <c r="B95" s="27" t="s">
        <v>56</v>
      </c>
      <c r="C95" s="3">
        <f>(H90/D64)*100</f>
        <v>3.3373684073068421</v>
      </c>
      <c r="D95" s="3" t="s">
        <v>55</v>
      </c>
    </row>
  </sheetData>
  <mergeCells count="20">
    <mergeCell ref="A1:N1"/>
    <mergeCell ref="B7:E8"/>
    <mergeCell ref="B9:E9"/>
    <mergeCell ref="B29:E29"/>
    <mergeCell ref="B18:E18"/>
    <mergeCell ref="B10:E10"/>
    <mergeCell ref="B11:E11"/>
    <mergeCell ref="A14:B14"/>
    <mergeCell ref="B16:K16"/>
    <mergeCell ref="E3:J4"/>
    <mergeCell ref="B94:E94"/>
    <mergeCell ref="X29:AA29"/>
    <mergeCell ref="X18:AB18"/>
    <mergeCell ref="B55:E55"/>
    <mergeCell ref="J77:K77"/>
    <mergeCell ref="B79:C79"/>
    <mergeCell ref="D79:H79"/>
    <mergeCell ref="G88:H88"/>
    <mergeCell ref="B93:E93"/>
    <mergeCell ref="B43:E43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JAISWAL</dc:creator>
  <cp:lastModifiedBy>KARTIK JAISWAL</cp:lastModifiedBy>
  <dcterms:created xsi:type="dcterms:W3CDTF">2025-06-23T17:00:45Z</dcterms:created>
  <dcterms:modified xsi:type="dcterms:W3CDTF">2025-07-24T04:57:55Z</dcterms:modified>
</cp:coreProperties>
</file>